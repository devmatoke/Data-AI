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Employee Data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<sst xmlns="http://schemas.openxmlformats.org/spreadsheetml/2006/main" count="1416" uniqueCount="167">
  <si>
    <t xml:space="preserve">Date</t>
  </si>
  <si>
    <t xml:space="preserve">Month</t>
  </si>
  <si>
    <t xml:space="preserve">Region</t>
  </si>
  <si>
    <t xml:space="preserve">Sales Rep</t>
  </si>
  <si>
    <t xml:space="preserve">Product</t>
  </si>
  <si>
    <t xml:space="preserve">Category</t>
  </si>
  <si>
    <t xml:space="preserve">Units Sold</t>
  </si>
  <si>
    <t xml:space="preserve">Unit Price</t>
  </si>
  <si>
    <t xml:space="preserve">Revenue</t>
  </si>
  <si>
    <t xml:space="preserve">COGS</t>
  </si>
  <si>
    <t xml:space="preserve">Gross Profit</t>
  </si>
  <si>
    <t xml:space="preserve">Margin %</t>
  </si>
  <si>
    <t xml:space="preserve">Nov</t>
  </si>
  <si>
    <t xml:space="preserve">South</t>
  </si>
  <si>
    <t xml:space="preserve">Bob Ochieng</t>
  </si>
  <si>
    <t xml:space="preserve">Wireless Mouse</t>
  </si>
  <si>
    <t xml:space="preserve">Peripherals</t>
  </si>
  <si>
    <t xml:space="preserve">Dec</t>
  </si>
  <si>
    <t xml:space="preserve">David Kamau</t>
  </si>
  <si>
    <t xml:space="preserve">Sep</t>
  </si>
  <si>
    <t xml:space="preserve">Central</t>
  </si>
  <si>
    <t xml:space="preserve">Grace Akinyi</t>
  </si>
  <si>
    <t xml:space="preserve">Laptop Pro</t>
  </si>
  <si>
    <t xml:space="preserve">Computers</t>
  </si>
  <si>
    <t xml:space="preserve">Apr</t>
  </si>
  <si>
    <t xml:space="preserve">Ergonomic Chair</t>
  </si>
  <si>
    <t xml:space="preserve">Furniture</t>
  </si>
  <si>
    <t xml:space="preserve">Jun</t>
  </si>
  <si>
    <t xml:space="preserve">North</t>
  </si>
  <si>
    <t xml:space="preserve">USB-C Hub</t>
  </si>
  <si>
    <t xml:space="preserve">Accessories</t>
  </si>
  <si>
    <t xml:space="preserve">Jul</t>
  </si>
  <si>
    <t xml:space="preserve">Henry Mwenda</t>
  </si>
  <si>
    <t xml:space="preserve">Oct</t>
  </si>
  <si>
    <t xml:space="preserve">Frank Otieno</t>
  </si>
  <si>
    <t xml:space="preserve">East</t>
  </si>
  <si>
    <t xml:space="preserve">Mechanical Keyboard</t>
  </si>
  <si>
    <t xml:space="preserve">Carol Njeri</t>
  </si>
  <si>
    <t xml:space="preserve">Webcam HD</t>
  </si>
  <si>
    <t xml:space="preserve">Eve Wanjiku</t>
  </si>
  <si>
    <t xml:space="preserve">Mar</t>
  </si>
  <si>
    <t xml:space="preserve">Standing Desk</t>
  </si>
  <si>
    <t xml:space="preserve">Feb</t>
  </si>
  <si>
    <t xml:space="preserve">West</t>
  </si>
  <si>
    <t xml:space="preserve">Alice Mwangi</t>
  </si>
  <si>
    <t xml:space="preserve">May</t>
  </si>
  <si>
    <t xml:space="preserve">Jan</t>
  </si>
  <si>
    <t xml:space="preserve">4K Monitor</t>
  </si>
  <si>
    <t xml:space="preserve">Displays</t>
  </si>
  <si>
    <t xml:space="preserve">Aug</t>
  </si>
  <si>
    <t xml:space="preserve">TOTALS</t>
  </si>
  <si>
    <t xml:space="preserve">Employee ID</t>
  </si>
  <si>
    <t xml:space="preserve">Name</t>
  </si>
  <si>
    <t xml:space="preserve">Department</t>
  </si>
  <si>
    <t xml:space="preserve">Role</t>
  </si>
  <si>
    <t xml:space="preserve">Hire Date</t>
  </si>
  <si>
    <t xml:space="preserve">Salary (KES)</t>
  </si>
  <si>
    <t xml:space="preserve">Years Exp</t>
  </si>
  <si>
    <t xml:space="preserve">Performance</t>
  </si>
  <si>
    <t xml:space="preserve">Satisfaction</t>
  </si>
  <si>
    <t xml:space="preserve">Remote %</t>
  </si>
  <si>
    <t xml:space="preserve">EMP1000</t>
  </si>
  <si>
    <t xml:space="preserve">Amara Osei</t>
  </si>
  <si>
    <t xml:space="preserve">HR</t>
  </si>
  <si>
    <t xml:space="preserve">Coordinator</t>
  </si>
  <si>
    <t xml:space="preserve">EMP1001</t>
  </si>
  <si>
    <t xml:space="preserve">Brice Mutua</t>
  </si>
  <si>
    <t xml:space="preserve">Design</t>
  </si>
  <si>
    <t xml:space="preserve">Designer</t>
  </si>
  <si>
    <t xml:space="preserve">EMP1002</t>
  </si>
  <si>
    <t xml:space="preserve">Cleo Nzioka</t>
  </si>
  <si>
    <t xml:space="preserve">Marketing</t>
  </si>
  <si>
    <t xml:space="preserve">Analyst</t>
  </si>
  <si>
    <t xml:space="preserve">EMP1003</t>
  </si>
  <si>
    <t xml:space="preserve">Diana Weru</t>
  </si>
  <si>
    <t xml:space="preserve">EMP1004</t>
  </si>
  <si>
    <t xml:space="preserve">Elias Korir</t>
  </si>
  <si>
    <t xml:space="preserve">Sales</t>
  </si>
  <si>
    <t xml:space="preserve">Rep</t>
  </si>
  <si>
    <t xml:space="preserve">EMP1005</t>
  </si>
  <si>
    <t xml:space="preserve">Fatuma Hassan</t>
  </si>
  <si>
    <t xml:space="preserve">Senior Rep</t>
  </si>
  <si>
    <t xml:space="preserve">EMP1006</t>
  </si>
  <si>
    <t xml:space="preserve">George Maina</t>
  </si>
  <si>
    <t xml:space="preserve">EMP1007</t>
  </si>
  <si>
    <t xml:space="preserve">Hilda Chebet</t>
  </si>
  <si>
    <t xml:space="preserve">EMP1008</t>
  </si>
  <si>
    <t xml:space="preserve">Ivan Omondi</t>
  </si>
  <si>
    <t xml:space="preserve">Director</t>
  </si>
  <si>
    <t xml:space="preserve">EMP1009</t>
  </si>
  <si>
    <t xml:space="preserve">Jane Gitonga</t>
  </si>
  <si>
    <t xml:space="preserve">EMP1010</t>
  </si>
  <si>
    <t xml:space="preserve">Kevin Njoroge</t>
  </si>
  <si>
    <t xml:space="preserve">EMP1011</t>
  </si>
  <si>
    <t xml:space="preserve">Lydia Waweru</t>
  </si>
  <si>
    <t xml:space="preserve">Operations</t>
  </si>
  <si>
    <t xml:space="preserve">EMP1012</t>
  </si>
  <si>
    <t xml:space="preserve">Moses Kariuki</t>
  </si>
  <si>
    <t xml:space="preserve">Manager</t>
  </si>
  <si>
    <t xml:space="preserve">EMP1013</t>
  </si>
  <si>
    <t xml:space="preserve">Naomi Otieno</t>
  </si>
  <si>
    <t xml:space="preserve">PM</t>
  </si>
  <si>
    <t xml:space="preserve">EMP1014</t>
  </si>
  <si>
    <t xml:space="preserve">Oscar Mwangi</t>
  </si>
  <si>
    <t xml:space="preserve">Senior Designer</t>
  </si>
  <si>
    <t xml:space="preserve">EMP1015</t>
  </si>
  <si>
    <t xml:space="preserve">Purity Wambui</t>
  </si>
  <si>
    <t xml:space="preserve">Specialist</t>
  </si>
  <si>
    <t xml:space="preserve">EMP1016</t>
  </si>
  <si>
    <t xml:space="preserve">Quinn Okello</t>
  </si>
  <si>
    <t xml:space="preserve">Engineering</t>
  </si>
  <si>
    <t xml:space="preserve">Engineer</t>
  </si>
  <si>
    <t xml:space="preserve">EMP1017</t>
  </si>
  <si>
    <t xml:space="preserve">Ruth Njeri</t>
  </si>
  <si>
    <t xml:space="preserve">Finance</t>
  </si>
  <si>
    <t xml:space="preserve">Senior Analyst</t>
  </si>
  <si>
    <t xml:space="preserve">EMP1018</t>
  </si>
  <si>
    <t xml:space="preserve">Samuel Achieng</t>
  </si>
  <si>
    <t xml:space="preserve">EMP1019</t>
  </si>
  <si>
    <t xml:space="preserve">Tessa Kamau</t>
  </si>
  <si>
    <t xml:space="preserve">EMP1020</t>
  </si>
  <si>
    <t xml:space="preserve">Ugo Ndungu</t>
  </si>
  <si>
    <t xml:space="preserve">EMP1021</t>
  </si>
  <si>
    <t xml:space="preserve">Vera Mugo</t>
  </si>
  <si>
    <t xml:space="preserve">EMP1022</t>
  </si>
  <si>
    <t xml:space="preserve">Walter Ochieng</t>
  </si>
  <si>
    <t xml:space="preserve">Senior Engineer</t>
  </si>
  <si>
    <t xml:space="preserve">EMP1023</t>
  </si>
  <si>
    <t xml:space="preserve">Xena Karanja</t>
  </si>
  <si>
    <t xml:space="preserve">Lead Engineer</t>
  </si>
  <si>
    <t xml:space="preserve">EMP1024</t>
  </si>
  <si>
    <t xml:space="preserve">Yusuf Mwenda</t>
  </si>
  <si>
    <t xml:space="preserve">EMP1025</t>
  </si>
  <si>
    <t xml:space="preserve">Zara Kimani</t>
  </si>
  <si>
    <t xml:space="preserve">EMP1026</t>
  </si>
  <si>
    <t xml:space="preserve">Abel Oduya</t>
  </si>
  <si>
    <t xml:space="preserve">Lead</t>
  </si>
  <si>
    <t xml:space="preserve">EMP1027</t>
  </si>
  <si>
    <t xml:space="preserve">Beth Wanjiru</t>
  </si>
  <si>
    <t xml:space="preserve">Senior PM</t>
  </si>
  <si>
    <t xml:space="preserve">EMP1028</t>
  </si>
  <si>
    <t xml:space="preserve">Caleb Mutuku</t>
  </si>
  <si>
    <t xml:space="preserve">EMP1029</t>
  </si>
  <si>
    <t xml:space="preserve">Dora Musyoka</t>
  </si>
  <si>
    <t xml:space="preserve">📊 DATAFORGE SAMPLE DATASET</t>
  </si>
  <si>
    <t xml:space="preserve">Auto-generated sample dataset for testing the DataForge AI Analysis Platform</t>
  </si>
  <si>
    <t xml:space="preserve">SALES SUMMARY</t>
  </si>
  <si>
    <t xml:space="preserve">Total Transactions</t>
  </si>
  <si>
    <t xml:space="preserve">Total Units Sold</t>
  </si>
  <si>
    <t xml:space="preserve">Total Revenue (KES)</t>
  </si>
  <si>
    <t xml:space="preserve">Total COGS (KES)</t>
  </si>
  <si>
    <t xml:space="preserve">Total Gross Profit</t>
  </si>
  <si>
    <t xml:space="preserve">Overall Margin</t>
  </si>
  <si>
    <t xml:space="preserve">EMPLOYEE SUMMARY</t>
  </si>
  <si>
    <t xml:space="preserve">Total Employees</t>
  </si>
  <si>
    <t xml:space="preserve">Avg Salary (KES)</t>
  </si>
  <si>
    <t xml:space="preserve">Avg Performance</t>
  </si>
  <si>
    <t xml:space="preserve">Avg Satisfaction</t>
  </si>
  <si>
    <t xml:space="preserve">Avg Years Exp</t>
  </si>
  <si>
    <t xml:space="preserve">Avg Remote %</t>
  </si>
  <si>
    <t xml:space="preserve">📌 Suggested Analyses</t>
  </si>
  <si>
    <t xml:space="preserve">→ Show monthly revenue trend and identify best performing month</t>
  </si>
  <si>
    <t xml:space="preserve">→ Compare gross margin % across product categories</t>
  </si>
  <si>
    <t xml:space="preserve">→ Analyze salary distribution by department</t>
  </si>
  <si>
    <t xml:space="preserve">→ Find correlation between experience and performance rating</t>
  </si>
  <si>
    <t xml:space="preserve">→ Identify top 5 sales reps by total revenue</t>
  </si>
  <si>
    <t xml:space="preserve">→ Show regional sales breakdown with a pie chart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</si>
</sst>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0.0%"/>
    <numFmt numFmtId="168" formatCode="dd\-mmm\-yyyy"/>
    <numFmt numFmtId="169" formatCode="#,##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EBF3FF"/>
        <bgColor rgb="FFDEEAF1"/>
      </patternFill>
    </fill>
    <fill>
      <patternFill patternType="solid">
        <fgColor rgb="FF1F4E79"/>
        <bgColor rgb="FF2F549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1F3864"/>
      </right>
      <top/>
      <bottom style="medium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EBF3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45619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n">
        <v>2</v>
      </c>
      <c r="H2" s="5" t="n">
        <v>31.1</v>
      </c>
      <c r="I2" s="5" t="n">
        <f aca="false">G2*H2</f>
        <v>62.2</v>
      </c>
      <c r="J2" s="5" t="n">
        <f aca="false">I2*0.499</f>
        <v>31.0378</v>
      </c>
      <c r="K2" s="5" t="n">
        <f aca="false">I2-J2</f>
        <v>31.1622</v>
      </c>
      <c r="L2" s="6" t="n">
        <f aca="false">IF(I2=0,0,K2/I2)</f>
        <v>0.501</v>
      </c>
    </row>
    <row r="3" customFormat="false" ht="15" hidden="false" customHeight="false" outlineLevel="0" collapsed="false">
      <c r="A3" s="2" t="n">
        <v>45638</v>
      </c>
      <c r="B3" s="3" t="s">
        <v>17</v>
      </c>
      <c r="C3" s="3" t="s">
        <v>13</v>
      </c>
      <c r="D3" s="3" t="s">
        <v>18</v>
      </c>
      <c r="E3" s="3" t="s">
        <v>15</v>
      </c>
      <c r="F3" s="3" t="s">
        <v>16</v>
      </c>
      <c r="G3" s="4" t="n">
        <v>38</v>
      </c>
      <c r="H3" s="5" t="n">
        <v>28.32</v>
      </c>
      <c r="I3" s="5" t="n">
        <f aca="false">G3*H3</f>
        <v>1076.16</v>
      </c>
      <c r="J3" s="5" t="n">
        <f aca="false">I3*0.456</f>
        <v>490.72896</v>
      </c>
      <c r="K3" s="5" t="n">
        <f aca="false">I3-J3</f>
        <v>585.43104</v>
      </c>
      <c r="L3" s="6" t="n">
        <f aca="false">IF(I3=0,0,K3/I3)</f>
        <v>0.544</v>
      </c>
    </row>
    <row r="4" customFormat="false" ht="15" hidden="false" customHeight="false" outlineLevel="0" collapsed="false">
      <c r="A4" s="2" t="n">
        <v>45550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 t="n">
        <v>36</v>
      </c>
      <c r="H4" s="5" t="n">
        <v>1181.64</v>
      </c>
      <c r="I4" s="5" t="n">
        <f aca="false">G4*H4</f>
        <v>42539.04</v>
      </c>
      <c r="J4" s="5" t="n">
        <f aca="false">I4*0.58</f>
        <v>24672.6432</v>
      </c>
      <c r="K4" s="5" t="n">
        <f aca="false">I4-J4</f>
        <v>17866.3968</v>
      </c>
      <c r="L4" s="6" t="n">
        <f aca="false">IF(I4=0,0,K4/I4)</f>
        <v>0.42</v>
      </c>
    </row>
    <row r="5" customFormat="false" ht="15" hidden="false" customHeight="false" outlineLevel="0" collapsed="false">
      <c r="A5" s="2" t="n">
        <v>45404</v>
      </c>
      <c r="B5" s="3" t="s">
        <v>24</v>
      </c>
      <c r="C5" s="3" t="s">
        <v>13</v>
      </c>
      <c r="D5" s="3" t="s">
        <v>21</v>
      </c>
      <c r="E5" s="3" t="s">
        <v>25</v>
      </c>
      <c r="F5" s="3" t="s">
        <v>26</v>
      </c>
      <c r="G5" s="4" t="n">
        <v>38</v>
      </c>
      <c r="H5" s="5" t="n">
        <v>419.12</v>
      </c>
      <c r="I5" s="5" t="n">
        <f aca="false">G5*H5</f>
        <v>15926.56</v>
      </c>
      <c r="J5" s="5" t="n">
        <f aca="false">I5*0.624</f>
        <v>9938.17344</v>
      </c>
      <c r="K5" s="5" t="n">
        <f aca="false">I5-J5</f>
        <v>5988.38656</v>
      </c>
      <c r="L5" s="6" t="n">
        <f aca="false">IF(I5=0,0,K5/I5)</f>
        <v>0.376</v>
      </c>
    </row>
    <row r="6" customFormat="false" ht="15" hidden="false" customHeight="false" outlineLevel="0" collapsed="false">
      <c r="A6" s="2" t="n">
        <v>45466</v>
      </c>
      <c r="B6" s="3" t="s">
        <v>27</v>
      </c>
      <c r="C6" s="3" t="s">
        <v>28</v>
      </c>
      <c r="D6" s="3" t="s">
        <v>14</v>
      </c>
      <c r="E6" s="3" t="s">
        <v>29</v>
      </c>
      <c r="F6" s="3" t="s">
        <v>30</v>
      </c>
      <c r="G6" s="4" t="n">
        <v>10</v>
      </c>
      <c r="H6" s="5" t="n">
        <v>41.16</v>
      </c>
      <c r="I6" s="5" t="n">
        <f aca="false">G6*H6</f>
        <v>411.6</v>
      </c>
      <c r="J6" s="5" t="n">
        <f aca="false">I6*0.603</f>
        <v>248.1948</v>
      </c>
      <c r="K6" s="5" t="n">
        <f aca="false">I6-J6</f>
        <v>163.4052</v>
      </c>
      <c r="L6" s="6" t="n">
        <f aca="false">IF(I6=0,0,K6/I6)</f>
        <v>0.397</v>
      </c>
    </row>
    <row r="7" customFormat="false" ht="15" hidden="false" customHeight="false" outlineLevel="0" collapsed="false">
      <c r="A7" s="2" t="n">
        <v>45486</v>
      </c>
      <c r="B7" s="3" t="s">
        <v>31</v>
      </c>
      <c r="C7" s="3" t="s">
        <v>28</v>
      </c>
      <c r="D7" s="3" t="s">
        <v>32</v>
      </c>
      <c r="E7" s="3" t="s">
        <v>15</v>
      </c>
      <c r="F7" s="3" t="s">
        <v>16</v>
      </c>
      <c r="G7" s="4" t="n">
        <v>23</v>
      </c>
      <c r="H7" s="5" t="n">
        <v>32.02</v>
      </c>
      <c r="I7" s="5" t="n">
        <f aca="false">G7*H7</f>
        <v>736.46</v>
      </c>
      <c r="J7" s="5" t="n">
        <f aca="false">I7*0.571</f>
        <v>420.51866</v>
      </c>
      <c r="K7" s="5" t="n">
        <f aca="false">I7-J7</f>
        <v>315.94134</v>
      </c>
      <c r="L7" s="6" t="n">
        <f aca="false">IF(I7=0,0,K7/I7)</f>
        <v>0.429</v>
      </c>
    </row>
    <row r="8" customFormat="false" ht="15" hidden="false" customHeight="false" outlineLevel="0" collapsed="false">
      <c r="A8" s="2" t="n">
        <v>45566</v>
      </c>
      <c r="B8" s="3" t="s">
        <v>33</v>
      </c>
      <c r="C8" s="3" t="s">
        <v>20</v>
      </c>
      <c r="D8" s="3" t="s">
        <v>34</v>
      </c>
      <c r="E8" s="3" t="s">
        <v>15</v>
      </c>
      <c r="F8" s="3" t="s">
        <v>16</v>
      </c>
      <c r="G8" s="4" t="n">
        <v>25</v>
      </c>
      <c r="H8" s="5" t="n">
        <v>25.34</v>
      </c>
      <c r="I8" s="5" t="n">
        <f aca="false">G8*H8</f>
        <v>633.5</v>
      </c>
      <c r="J8" s="5" t="n">
        <f aca="false">I8*0.509</f>
        <v>322.4515</v>
      </c>
      <c r="K8" s="5" t="n">
        <f aca="false">I8-J8</f>
        <v>311.0485</v>
      </c>
      <c r="L8" s="6" t="n">
        <f aca="false">IF(I8=0,0,K8/I8)</f>
        <v>0.491</v>
      </c>
    </row>
    <row r="9" customFormat="false" ht="15" hidden="false" customHeight="false" outlineLevel="0" collapsed="false">
      <c r="A9" s="2" t="n">
        <v>45587</v>
      </c>
      <c r="B9" s="3" t="s">
        <v>33</v>
      </c>
      <c r="C9" s="3" t="s">
        <v>35</v>
      </c>
      <c r="D9" s="3" t="s">
        <v>14</v>
      </c>
      <c r="E9" s="3" t="s">
        <v>36</v>
      </c>
      <c r="F9" s="3" t="s">
        <v>16</v>
      </c>
      <c r="G9" s="4" t="n">
        <v>46</v>
      </c>
      <c r="H9" s="5" t="n">
        <v>77.51</v>
      </c>
      <c r="I9" s="5" t="n">
        <f aca="false">G9*H9</f>
        <v>3565.46</v>
      </c>
      <c r="J9" s="5" t="n">
        <f aca="false">I9*0.582</f>
        <v>2075.09772</v>
      </c>
      <c r="K9" s="5" t="n">
        <f aca="false">I9-J9</f>
        <v>1490.36228</v>
      </c>
      <c r="L9" s="6" t="n">
        <f aca="false">IF(I9=0,0,K9/I9)</f>
        <v>0.418</v>
      </c>
    </row>
    <row r="10" customFormat="false" ht="15" hidden="false" customHeight="false" outlineLevel="0" collapsed="false">
      <c r="A10" s="2" t="n">
        <v>45411</v>
      </c>
      <c r="B10" s="3" t="s">
        <v>24</v>
      </c>
      <c r="C10" s="3" t="s">
        <v>35</v>
      </c>
      <c r="D10" s="3" t="s">
        <v>37</v>
      </c>
      <c r="E10" s="3" t="s">
        <v>15</v>
      </c>
      <c r="F10" s="3" t="s">
        <v>16</v>
      </c>
      <c r="G10" s="4" t="n">
        <v>25</v>
      </c>
      <c r="H10" s="5" t="n">
        <v>27.07</v>
      </c>
      <c r="I10" s="5" t="n">
        <f aca="false">G10*H10</f>
        <v>676.75</v>
      </c>
      <c r="J10" s="5" t="n">
        <f aca="false">I10*0.577</f>
        <v>390.48475</v>
      </c>
      <c r="K10" s="5" t="n">
        <f aca="false">I10-J10</f>
        <v>286.26525</v>
      </c>
      <c r="L10" s="6" t="n">
        <f aca="false">IF(I10=0,0,K10/I10)</f>
        <v>0.423</v>
      </c>
    </row>
    <row r="11" customFormat="false" ht="15" hidden="false" customHeight="false" outlineLevel="0" collapsed="false">
      <c r="A11" s="2" t="n">
        <v>45481</v>
      </c>
      <c r="B11" s="3" t="s">
        <v>31</v>
      </c>
      <c r="C11" s="3" t="s">
        <v>28</v>
      </c>
      <c r="D11" s="3" t="s">
        <v>37</v>
      </c>
      <c r="E11" s="3" t="s">
        <v>38</v>
      </c>
      <c r="F11" s="3" t="s">
        <v>30</v>
      </c>
      <c r="G11" s="4" t="n">
        <v>14</v>
      </c>
      <c r="H11" s="5" t="n">
        <v>135.59</v>
      </c>
      <c r="I11" s="5" t="n">
        <f aca="false">G11*H11</f>
        <v>1898.26</v>
      </c>
      <c r="J11" s="5" t="n">
        <f aca="false">I11*0.59</f>
        <v>1119.9734</v>
      </c>
      <c r="K11" s="5" t="n">
        <f aca="false">I11-J11</f>
        <v>778.2866</v>
      </c>
      <c r="L11" s="6" t="n">
        <f aca="false">IF(I11=0,0,K11/I11)</f>
        <v>0.41</v>
      </c>
    </row>
    <row r="12" customFormat="false" ht="15" hidden="false" customHeight="false" outlineLevel="0" collapsed="false">
      <c r="A12" s="2" t="n">
        <v>45565</v>
      </c>
      <c r="B12" s="3" t="s">
        <v>19</v>
      </c>
      <c r="C12" s="3" t="s">
        <v>20</v>
      </c>
      <c r="D12" s="3" t="s">
        <v>18</v>
      </c>
      <c r="E12" s="3" t="s">
        <v>36</v>
      </c>
      <c r="F12" s="3" t="s">
        <v>16</v>
      </c>
      <c r="G12" s="4" t="n">
        <v>11</v>
      </c>
      <c r="H12" s="5" t="n">
        <v>87.99</v>
      </c>
      <c r="I12" s="5" t="n">
        <f aca="false">G12*H12</f>
        <v>967.89</v>
      </c>
      <c r="J12" s="5" t="n">
        <f aca="false">I12*0.504</f>
        <v>487.81656</v>
      </c>
      <c r="K12" s="5" t="n">
        <f aca="false">I12-J12</f>
        <v>480.07344</v>
      </c>
      <c r="L12" s="6" t="n">
        <f aca="false">IF(I12=0,0,K12/I12)</f>
        <v>0.496</v>
      </c>
    </row>
    <row r="13" customFormat="false" ht="15" hidden="false" customHeight="false" outlineLevel="0" collapsed="false">
      <c r="A13" s="2" t="n">
        <v>45642</v>
      </c>
      <c r="B13" s="3" t="s">
        <v>17</v>
      </c>
      <c r="C13" s="3" t="s">
        <v>28</v>
      </c>
      <c r="D13" s="3" t="s">
        <v>34</v>
      </c>
      <c r="E13" s="3" t="s">
        <v>38</v>
      </c>
      <c r="F13" s="3" t="s">
        <v>30</v>
      </c>
      <c r="G13" s="4" t="n">
        <v>50</v>
      </c>
      <c r="H13" s="5" t="n">
        <v>139.68</v>
      </c>
      <c r="I13" s="5" t="n">
        <f aca="false">G13*H13</f>
        <v>6984</v>
      </c>
      <c r="J13" s="5" t="n">
        <f aca="false">I13*0.496</f>
        <v>3464.064</v>
      </c>
      <c r="K13" s="5" t="n">
        <f aca="false">I13-J13</f>
        <v>3519.936</v>
      </c>
      <c r="L13" s="6" t="n">
        <f aca="false">IF(I13=0,0,K13/I13)</f>
        <v>0.504</v>
      </c>
    </row>
    <row r="14" customFormat="false" ht="15" hidden="false" customHeight="false" outlineLevel="0" collapsed="false">
      <c r="A14" s="2" t="n">
        <v>45497</v>
      </c>
      <c r="B14" s="3" t="s">
        <v>31</v>
      </c>
      <c r="C14" s="3" t="s">
        <v>35</v>
      </c>
      <c r="D14" s="3" t="s">
        <v>18</v>
      </c>
      <c r="E14" s="3" t="s">
        <v>29</v>
      </c>
      <c r="F14" s="3" t="s">
        <v>30</v>
      </c>
      <c r="G14" s="4" t="n">
        <v>5</v>
      </c>
      <c r="H14" s="5" t="n">
        <v>41.1</v>
      </c>
      <c r="I14" s="5" t="n">
        <f aca="false">G14*H14</f>
        <v>205.5</v>
      </c>
      <c r="J14" s="5" t="n">
        <f aca="false">I14*0.639</f>
        <v>131.3145</v>
      </c>
      <c r="K14" s="5" t="n">
        <f aca="false">I14-J14</f>
        <v>74.1855</v>
      </c>
      <c r="L14" s="6" t="n">
        <f aca="false">IF(I14=0,0,K14/I14)</f>
        <v>0.361</v>
      </c>
    </row>
    <row r="15" customFormat="false" ht="15" hidden="false" customHeight="false" outlineLevel="0" collapsed="false">
      <c r="A15" s="2" t="n">
        <v>45627</v>
      </c>
      <c r="B15" s="3" t="s">
        <v>17</v>
      </c>
      <c r="C15" s="3" t="s">
        <v>13</v>
      </c>
      <c r="D15" s="3" t="s">
        <v>39</v>
      </c>
      <c r="E15" s="3" t="s">
        <v>25</v>
      </c>
      <c r="F15" s="3" t="s">
        <v>26</v>
      </c>
      <c r="G15" s="4" t="n">
        <v>26</v>
      </c>
      <c r="H15" s="5" t="n">
        <v>500.82</v>
      </c>
      <c r="I15" s="5" t="n">
        <f aca="false">G15*H15</f>
        <v>13021.32</v>
      </c>
      <c r="J15" s="5" t="n">
        <f aca="false">I15*0.579</f>
        <v>7539.34428</v>
      </c>
      <c r="K15" s="5" t="n">
        <f aca="false">I15-J15</f>
        <v>5481.97572</v>
      </c>
      <c r="L15" s="6" t="n">
        <f aca="false">IF(I15=0,0,K15/I15)</f>
        <v>0.421</v>
      </c>
    </row>
    <row r="16" customFormat="false" ht="15" hidden="false" customHeight="false" outlineLevel="0" collapsed="false">
      <c r="A16" s="2" t="n">
        <v>45363</v>
      </c>
      <c r="B16" s="3" t="s">
        <v>40</v>
      </c>
      <c r="C16" s="3" t="s">
        <v>20</v>
      </c>
      <c r="D16" s="3" t="s">
        <v>21</v>
      </c>
      <c r="E16" s="3" t="s">
        <v>36</v>
      </c>
      <c r="F16" s="3" t="s">
        <v>16</v>
      </c>
      <c r="G16" s="4" t="n">
        <v>48</v>
      </c>
      <c r="H16" s="5" t="n">
        <v>90.64</v>
      </c>
      <c r="I16" s="5" t="n">
        <f aca="false">G16*H16</f>
        <v>4350.72</v>
      </c>
      <c r="J16" s="5" t="n">
        <f aca="false">I16*0.503</f>
        <v>2188.41216</v>
      </c>
      <c r="K16" s="5" t="n">
        <f aca="false">I16-J16</f>
        <v>2162.30784</v>
      </c>
      <c r="L16" s="6" t="n">
        <f aca="false">IF(I16=0,0,K16/I16)</f>
        <v>0.497</v>
      </c>
    </row>
    <row r="17" customFormat="false" ht="15" hidden="false" customHeight="false" outlineLevel="0" collapsed="false">
      <c r="A17" s="2" t="n">
        <v>45590</v>
      </c>
      <c r="B17" s="3" t="s">
        <v>33</v>
      </c>
      <c r="C17" s="3" t="s">
        <v>20</v>
      </c>
      <c r="D17" s="3" t="s">
        <v>32</v>
      </c>
      <c r="E17" s="3" t="s">
        <v>41</v>
      </c>
      <c r="F17" s="3" t="s">
        <v>26</v>
      </c>
      <c r="G17" s="4" t="n">
        <v>24</v>
      </c>
      <c r="H17" s="5" t="n">
        <v>365.4</v>
      </c>
      <c r="I17" s="5" t="n">
        <f aca="false">G17*H17</f>
        <v>8769.6</v>
      </c>
      <c r="J17" s="5" t="n">
        <f aca="false">I17*0.65</f>
        <v>5700.24</v>
      </c>
      <c r="K17" s="5" t="n">
        <f aca="false">I17-J17</f>
        <v>3069.36</v>
      </c>
      <c r="L17" s="6" t="n">
        <f aca="false">IF(I17=0,0,K17/I17)</f>
        <v>0.35</v>
      </c>
    </row>
    <row r="18" customFormat="false" ht="15" hidden="false" customHeight="false" outlineLevel="0" collapsed="false">
      <c r="A18" s="2" t="n">
        <v>45338</v>
      </c>
      <c r="B18" s="3" t="s">
        <v>42</v>
      </c>
      <c r="C18" s="3" t="s">
        <v>43</v>
      </c>
      <c r="D18" s="3" t="s">
        <v>14</v>
      </c>
      <c r="E18" s="3" t="s">
        <v>22</v>
      </c>
      <c r="F18" s="3" t="s">
        <v>23</v>
      </c>
      <c r="G18" s="4" t="n">
        <v>8</v>
      </c>
      <c r="H18" s="5" t="n">
        <v>1163.71</v>
      </c>
      <c r="I18" s="5" t="n">
        <f aca="false">G18*H18</f>
        <v>9309.68</v>
      </c>
      <c r="J18" s="5" t="n">
        <f aca="false">I18*0.482</f>
        <v>4487.26576</v>
      </c>
      <c r="K18" s="5" t="n">
        <f aca="false">I18-J18</f>
        <v>4822.41424</v>
      </c>
      <c r="L18" s="6" t="n">
        <f aca="false">IF(I18=0,0,K18/I18)</f>
        <v>0.518</v>
      </c>
    </row>
    <row r="19" customFormat="false" ht="15" hidden="false" customHeight="false" outlineLevel="0" collapsed="false">
      <c r="A19" s="2" t="n">
        <v>45489</v>
      </c>
      <c r="B19" s="3" t="s">
        <v>31</v>
      </c>
      <c r="C19" s="3" t="s">
        <v>20</v>
      </c>
      <c r="D19" s="3" t="s">
        <v>44</v>
      </c>
      <c r="E19" s="3" t="s">
        <v>41</v>
      </c>
      <c r="F19" s="3" t="s">
        <v>26</v>
      </c>
      <c r="G19" s="4" t="n">
        <v>39</v>
      </c>
      <c r="H19" s="5" t="n">
        <v>458.39</v>
      </c>
      <c r="I19" s="5" t="n">
        <f aca="false">G19*H19</f>
        <v>17877.21</v>
      </c>
      <c r="J19" s="5" t="n">
        <f aca="false">I19*0.556</f>
        <v>9939.72876</v>
      </c>
      <c r="K19" s="5" t="n">
        <f aca="false">I19-J19</f>
        <v>7937.48124</v>
      </c>
      <c r="L19" s="6" t="n">
        <f aca="false">IF(I19=0,0,K19/I19)</f>
        <v>0.444</v>
      </c>
    </row>
    <row r="20" customFormat="false" ht="15" hidden="false" customHeight="false" outlineLevel="0" collapsed="false">
      <c r="A20" s="2" t="n">
        <v>45640</v>
      </c>
      <c r="B20" s="3" t="s">
        <v>17</v>
      </c>
      <c r="C20" s="3" t="s">
        <v>35</v>
      </c>
      <c r="D20" s="3" t="s">
        <v>14</v>
      </c>
      <c r="E20" s="3" t="s">
        <v>15</v>
      </c>
      <c r="F20" s="3" t="s">
        <v>16</v>
      </c>
      <c r="G20" s="4" t="n">
        <v>44</v>
      </c>
      <c r="H20" s="5" t="n">
        <v>32.35</v>
      </c>
      <c r="I20" s="5" t="n">
        <f aca="false">G20*H20</f>
        <v>1423.4</v>
      </c>
      <c r="J20" s="5" t="n">
        <f aca="false">I20*0.6</f>
        <v>854.04</v>
      </c>
      <c r="K20" s="5" t="n">
        <f aca="false">I20-J20</f>
        <v>569.36</v>
      </c>
      <c r="L20" s="6" t="n">
        <f aca="false">IF(I20=0,0,K20/I20)</f>
        <v>0.4</v>
      </c>
    </row>
    <row r="21" customFormat="false" ht="15" hidden="false" customHeight="false" outlineLevel="0" collapsed="false">
      <c r="A21" s="2" t="n">
        <v>45442</v>
      </c>
      <c r="B21" s="3" t="s">
        <v>45</v>
      </c>
      <c r="C21" s="3" t="s">
        <v>35</v>
      </c>
      <c r="D21" s="3" t="s">
        <v>37</v>
      </c>
      <c r="E21" s="3" t="s">
        <v>41</v>
      </c>
      <c r="F21" s="3" t="s">
        <v>26</v>
      </c>
      <c r="G21" s="4" t="n">
        <v>11</v>
      </c>
      <c r="H21" s="5" t="n">
        <v>393.46</v>
      </c>
      <c r="I21" s="5" t="n">
        <f aca="false">G21*H21</f>
        <v>4328.06</v>
      </c>
      <c r="J21" s="5" t="n">
        <f aca="false">I21*0.641</f>
        <v>2774.28646</v>
      </c>
      <c r="K21" s="5" t="n">
        <f aca="false">I21-J21</f>
        <v>1553.77354</v>
      </c>
      <c r="L21" s="6" t="n">
        <f aca="false">IF(I21=0,0,K21/I21)</f>
        <v>0.359</v>
      </c>
    </row>
    <row r="22" customFormat="false" ht="15" hidden="false" customHeight="false" outlineLevel="0" collapsed="false">
      <c r="A22" s="2" t="n">
        <v>45551</v>
      </c>
      <c r="B22" s="3" t="s">
        <v>19</v>
      </c>
      <c r="C22" s="3" t="s">
        <v>20</v>
      </c>
      <c r="D22" s="3" t="s">
        <v>18</v>
      </c>
      <c r="E22" s="3" t="s">
        <v>15</v>
      </c>
      <c r="F22" s="3" t="s">
        <v>16</v>
      </c>
      <c r="G22" s="4" t="n">
        <v>41</v>
      </c>
      <c r="H22" s="5" t="n">
        <v>27.25</v>
      </c>
      <c r="I22" s="5" t="n">
        <f aca="false">G22*H22</f>
        <v>1117.25</v>
      </c>
      <c r="J22" s="5" t="n">
        <f aca="false">I22*0.578</f>
        <v>645.7705</v>
      </c>
      <c r="K22" s="5" t="n">
        <f aca="false">I22-J22</f>
        <v>471.4795</v>
      </c>
      <c r="L22" s="6" t="n">
        <f aca="false">IF(I22=0,0,K22/I22)</f>
        <v>0.422</v>
      </c>
    </row>
    <row r="23" customFormat="false" ht="15" hidden="false" customHeight="false" outlineLevel="0" collapsed="false">
      <c r="A23" s="2" t="n">
        <v>45370</v>
      </c>
      <c r="B23" s="3" t="s">
        <v>40</v>
      </c>
      <c r="C23" s="3" t="s">
        <v>20</v>
      </c>
      <c r="D23" s="3" t="s">
        <v>44</v>
      </c>
      <c r="E23" s="3" t="s">
        <v>38</v>
      </c>
      <c r="F23" s="3" t="s">
        <v>30</v>
      </c>
      <c r="G23" s="4" t="n">
        <v>49</v>
      </c>
      <c r="H23" s="5" t="n">
        <v>115.9</v>
      </c>
      <c r="I23" s="5" t="n">
        <f aca="false">G23*H23</f>
        <v>5679.1</v>
      </c>
      <c r="J23" s="5" t="n">
        <f aca="false">I23*0.641</f>
        <v>3640.3031</v>
      </c>
      <c r="K23" s="5" t="n">
        <f aca="false">I23-J23</f>
        <v>2038.7969</v>
      </c>
      <c r="L23" s="6" t="n">
        <f aca="false">IF(I23=0,0,K23/I23)</f>
        <v>0.359</v>
      </c>
    </row>
    <row r="24" customFormat="false" ht="15" hidden="false" customHeight="false" outlineLevel="0" collapsed="false">
      <c r="A24" s="2" t="n">
        <v>45598</v>
      </c>
      <c r="B24" s="3" t="s">
        <v>12</v>
      </c>
      <c r="C24" s="3" t="s">
        <v>35</v>
      </c>
      <c r="D24" s="3" t="s">
        <v>18</v>
      </c>
      <c r="E24" s="3" t="s">
        <v>38</v>
      </c>
      <c r="F24" s="3" t="s">
        <v>30</v>
      </c>
      <c r="G24" s="4" t="n">
        <v>32</v>
      </c>
      <c r="H24" s="5" t="n">
        <v>110.4</v>
      </c>
      <c r="I24" s="5" t="n">
        <f aca="false">G24*H24</f>
        <v>3532.8</v>
      </c>
      <c r="J24" s="5" t="n">
        <f aca="false">I24*0.636</f>
        <v>2246.8608</v>
      </c>
      <c r="K24" s="5" t="n">
        <f aca="false">I24-J24</f>
        <v>1285.9392</v>
      </c>
      <c r="L24" s="6" t="n">
        <f aca="false">IF(I24=0,0,K24/I24)</f>
        <v>0.364</v>
      </c>
    </row>
    <row r="25" customFormat="false" ht="15" hidden="false" customHeight="false" outlineLevel="0" collapsed="false">
      <c r="A25" s="2" t="n">
        <v>45321</v>
      </c>
      <c r="B25" s="3" t="s">
        <v>46</v>
      </c>
      <c r="C25" s="3" t="s">
        <v>43</v>
      </c>
      <c r="D25" s="3" t="s">
        <v>14</v>
      </c>
      <c r="E25" s="3" t="s">
        <v>36</v>
      </c>
      <c r="F25" s="3" t="s">
        <v>16</v>
      </c>
      <c r="G25" s="4" t="n">
        <v>37</v>
      </c>
      <c r="H25" s="5" t="n">
        <v>100.93</v>
      </c>
      <c r="I25" s="5" t="n">
        <f aca="false">G25*H25</f>
        <v>3734.41</v>
      </c>
      <c r="J25" s="5" t="n">
        <f aca="false">I25*0.467</f>
        <v>1743.96947</v>
      </c>
      <c r="K25" s="5" t="n">
        <f aca="false">I25-J25</f>
        <v>1990.44053</v>
      </c>
      <c r="L25" s="6" t="n">
        <f aca="false">IF(I25=0,0,K25/I25)</f>
        <v>0.533</v>
      </c>
    </row>
    <row r="26" customFormat="false" ht="15" hidden="false" customHeight="false" outlineLevel="0" collapsed="false">
      <c r="A26" s="2" t="n">
        <v>45564</v>
      </c>
      <c r="B26" s="3" t="s">
        <v>19</v>
      </c>
      <c r="C26" s="3" t="s">
        <v>13</v>
      </c>
      <c r="D26" s="3" t="s">
        <v>39</v>
      </c>
      <c r="E26" s="3" t="s">
        <v>47</v>
      </c>
      <c r="F26" s="3" t="s">
        <v>48</v>
      </c>
      <c r="G26" s="4" t="n">
        <v>9</v>
      </c>
      <c r="H26" s="5" t="n">
        <v>627.71</v>
      </c>
      <c r="I26" s="5" t="n">
        <f aca="false">G26*H26</f>
        <v>5649.39</v>
      </c>
      <c r="J26" s="5" t="n">
        <f aca="false">I26*0.639</f>
        <v>3609.96021</v>
      </c>
      <c r="K26" s="5" t="n">
        <f aca="false">I26-J26</f>
        <v>2039.42979</v>
      </c>
      <c r="L26" s="6" t="n">
        <f aca="false">IF(I26=0,0,K26/I26)</f>
        <v>0.361</v>
      </c>
    </row>
    <row r="27" customFormat="false" ht="15" hidden="false" customHeight="false" outlineLevel="0" collapsed="false">
      <c r="A27" s="2" t="n">
        <v>45562</v>
      </c>
      <c r="B27" s="3" t="s">
        <v>19</v>
      </c>
      <c r="C27" s="3" t="s">
        <v>13</v>
      </c>
      <c r="D27" s="3" t="s">
        <v>39</v>
      </c>
      <c r="E27" s="3" t="s">
        <v>41</v>
      </c>
      <c r="F27" s="3" t="s">
        <v>26</v>
      </c>
      <c r="G27" s="4" t="n">
        <v>14</v>
      </c>
      <c r="H27" s="5" t="n">
        <v>450.34</v>
      </c>
      <c r="I27" s="5" t="n">
        <f aca="false">G27*H27</f>
        <v>6304.76</v>
      </c>
      <c r="J27" s="5" t="n">
        <f aca="false">I27*0.601</f>
        <v>3789.16076</v>
      </c>
      <c r="K27" s="5" t="n">
        <f aca="false">I27-J27</f>
        <v>2515.59924</v>
      </c>
      <c r="L27" s="6" t="n">
        <f aca="false">IF(I27=0,0,K27/I27)</f>
        <v>0.399</v>
      </c>
    </row>
    <row r="28" customFormat="false" ht="15" hidden="false" customHeight="false" outlineLevel="0" collapsed="false">
      <c r="A28" s="2" t="n">
        <v>45496</v>
      </c>
      <c r="B28" s="3" t="s">
        <v>31</v>
      </c>
      <c r="C28" s="3" t="s">
        <v>13</v>
      </c>
      <c r="D28" s="3" t="s">
        <v>18</v>
      </c>
      <c r="E28" s="3" t="s">
        <v>38</v>
      </c>
      <c r="F28" s="3" t="s">
        <v>30</v>
      </c>
      <c r="G28" s="4" t="n">
        <v>29</v>
      </c>
      <c r="H28" s="5" t="n">
        <v>144.47</v>
      </c>
      <c r="I28" s="5" t="n">
        <f aca="false">G28*H28</f>
        <v>4189.63</v>
      </c>
      <c r="J28" s="5" t="n">
        <f aca="false">I28*0.54</f>
        <v>2262.4002</v>
      </c>
      <c r="K28" s="5" t="n">
        <f aca="false">I28-J28</f>
        <v>1927.2298</v>
      </c>
      <c r="L28" s="6" t="n">
        <f aca="false">IF(I28=0,0,K28/I28)</f>
        <v>0.46</v>
      </c>
    </row>
    <row r="29" customFormat="false" ht="15" hidden="false" customHeight="false" outlineLevel="0" collapsed="false">
      <c r="A29" s="2" t="n">
        <v>45324</v>
      </c>
      <c r="B29" s="3" t="s">
        <v>42</v>
      </c>
      <c r="C29" s="3" t="s">
        <v>13</v>
      </c>
      <c r="D29" s="3" t="s">
        <v>44</v>
      </c>
      <c r="E29" s="3" t="s">
        <v>38</v>
      </c>
      <c r="F29" s="3" t="s">
        <v>30</v>
      </c>
      <c r="G29" s="4" t="n">
        <v>2</v>
      </c>
      <c r="H29" s="5" t="n">
        <v>132.42</v>
      </c>
      <c r="I29" s="5" t="n">
        <f aca="false">G29*H29</f>
        <v>264.84</v>
      </c>
      <c r="J29" s="5" t="n">
        <f aca="false">I29*0.496</f>
        <v>131.36064</v>
      </c>
      <c r="K29" s="5" t="n">
        <f aca="false">I29-J29</f>
        <v>133.47936</v>
      </c>
      <c r="L29" s="6" t="n">
        <f aca="false">IF(I29=0,0,K29/I29)</f>
        <v>0.504</v>
      </c>
    </row>
    <row r="30" customFormat="false" ht="15" hidden="false" customHeight="false" outlineLevel="0" collapsed="false">
      <c r="A30" s="2" t="n">
        <v>45328</v>
      </c>
      <c r="B30" s="3" t="s">
        <v>42</v>
      </c>
      <c r="C30" s="3" t="s">
        <v>35</v>
      </c>
      <c r="D30" s="3" t="s">
        <v>14</v>
      </c>
      <c r="E30" s="3" t="s">
        <v>22</v>
      </c>
      <c r="F30" s="3" t="s">
        <v>23</v>
      </c>
      <c r="G30" s="4" t="n">
        <v>15</v>
      </c>
      <c r="H30" s="5" t="n">
        <v>1130.42</v>
      </c>
      <c r="I30" s="5" t="n">
        <f aca="false">G30*H30</f>
        <v>16956.3</v>
      </c>
      <c r="J30" s="5" t="n">
        <f aca="false">I30*0.456</f>
        <v>7732.0728</v>
      </c>
      <c r="K30" s="5" t="n">
        <f aca="false">I30-J30</f>
        <v>9224.2272</v>
      </c>
      <c r="L30" s="6" t="n">
        <f aca="false">IF(I30=0,0,K30/I30)</f>
        <v>0.544</v>
      </c>
    </row>
    <row r="31" customFormat="false" ht="15" hidden="false" customHeight="false" outlineLevel="0" collapsed="false">
      <c r="A31" s="2" t="n">
        <v>45555</v>
      </c>
      <c r="B31" s="3" t="s">
        <v>19</v>
      </c>
      <c r="C31" s="3" t="s">
        <v>13</v>
      </c>
      <c r="D31" s="3" t="s">
        <v>32</v>
      </c>
      <c r="E31" s="3" t="s">
        <v>36</v>
      </c>
      <c r="F31" s="3" t="s">
        <v>16</v>
      </c>
      <c r="G31" s="4" t="n">
        <v>18</v>
      </c>
      <c r="H31" s="5" t="n">
        <v>93.51</v>
      </c>
      <c r="I31" s="5" t="n">
        <f aca="false">G31*H31</f>
        <v>1683.18</v>
      </c>
      <c r="J31" s="5" t="n">
        <f aca="false">I31*0.493</f>
        <v>829.80774</v>
      </c>
      <c r="K31" s="5" t="n">
        <f aca="false">I31-J31</f>
        <v>853.37226</v>
      </c>
      <c r="L31" s="6" t="n">
        <f aca="false">IF(I31=0,0,K31/I31)</f>
        <v>0.507</v>
      </c>
    </row>
    <row r="32" customFormat="false" ht="15" hidden="false" customHeight="false" outlineLevel="0" collapsed="false">
      <c r="A32" s="2" t="n">
        <v>45416</v>
      </c>
      <c r="B32" s="3" t="s">
        <v>45</v>
      </c>
      <c r="C32" s="3" t="s">
        <v>43</v>
      </c>
      <c r="D32" s="3" t="s">
        <v>34</v>
      </c>
      <c r="E32" s="3" t="s">
        <v>25</v>
      </c>
      <c r="F32" s="3" t="s">
        <v>26</v>
      </c>
      <c r="G32" s="4" t="n">
        <v>27</v>
      </c>
      <c r="H32" s="5" t="n">
        <v>407.3</v>
      </c>
      <c r="I32" s="5" t="n">
        <f aca="false">G32*H32</f>
        <v>10997.1</v>
      </c>
      <c r="J32" s="5" t="n">
        <f aca="false">I32*0.469</f>
        <v>5157.6399</v>
      </c>
      <c r="K32" s="5" t="n">
        <f aca="false">I32-J32</f>
        <v>5839.4601</v>
      </c>
      <c r="L32" s="6" t="n">
        <f aca="false">IF(I32=0,0,K32/I32)</f>
        <v>0.531</v>
      </c>
    </row>
    <row r="33" customFormat="false" ht="15" hidden="false" customHeight="false" outlineLevel="0" collapsed="false">
      <c r="A33" s="2" t="n">
        <v>45508</v>
      </c>
      <c r="B33" s="3" t="s">
        <v>49</v>
      </c>
      <c r="C33" s="3" t="s">
        <v>28</v>
      </c>
      <c r="D33" s="3" t="s">
        <v>44</v>
      </c>
      <c r="E33" s="3" t="s">
        <v>41</v>
      </c>
      <c r="F33" s="3" t="s">
        <v>26</v>
      </c>
      <c r="G33" s="4" t="n">
        <v>30</v>
      </c>
      <c r="H33" s="5" t="n">
        <v>442.55</v>
      </c>
      <c r="I33" s="5" t="n">
        <f aca="false">G33*H33</f>
        <v>13276.5</v>
      </c>
      <c r="J33" s="5" t="n">
        <f aca="false">I33*0.461</f>
        <v>6120.4665</v>
      </c>
      <c r="K33" s="5" t="n">
        <f aca="false">I33-J33</f>
        <v>7156.0335</v>
      </c>
      <c r="L33" s="6" t="n">
        <f aca="false">IF(I33=0,0,K33/I33)</f>
        <v>0.539</v>
      </c>
    </row>
    <row r="34" customFormat="false" ht="15" hidden="false" customHeight="false" outlineLevel="0" collapsed="false">
      <c r="A34" s="2" t="n">
        <v>45498</v>
      </c>
      <c r="B34" s="3" t="s">
        <v>31</v>
      </c>
      <c r="C34" s="3" t="s">
        <v>43</v>
      </c>
      <c r="D34" s="3" t="s">
        <v>37</v>
      </c>
      <c r="E34" s="3" t="s">
        <v>38</v>
      </c>
      <c r="F34" s="3" t="s">
        <v>30</v>
      </c>
      <c r="G34" s="4" t="n">
        <v>7</v>
      </c>
      <c r="H34" s="5" t="n">
        <v>119.27</v>
      </c>
      <c r="I34" s="5" t="n">
        <f aca="false">G34*H34</f>
        <v>834.89</v>
      </c>
      <c r="J34" s="5" t="n">
        <f aca="false">I34*0.488</f>
        <v>407.42632</v>
      </c>
      <c r="K34" s="5" t="n">
        <f aca="false">I34-J34</f>
        <v>427.46368</v>
      </c>
      <c r="L34" s="6" t="n">
        <f aca="false">IF(I34=0,0,K34/I34)</f>
        <v>0.512</v>
      </c>
    </row>
    <row r="35" customFormat="false" ht="15" hidden="false" customHeight="false" outlineLevel="0" collapsed="false">
      <c r="A35" s="2" t="n">
        <v>45508</v>
      </c>
      <c r="B35" s="3" t="s">
        <v>49</v>
      </c>
      <c r="C35" s="3" t="s">
        <v>28</v>
      </c>
      <c r="D35" s="3" t="s">
        <v>32</v>
      </c>
      <c r="E35" s="3" t="s">
        <v>47</v>
      </c>
      <c r="F35" s="3" t="s">
        <v>48</v>
      </c>
      <c r="G35" s="4" t="n">
        <v>18</v>
      </c>
      <c r="H35" s="5" t="n">
        <v>592.28</v>
      </c>
      <c r="I35" s="5" t="n">
        <f aca="false">G35*H35</f>
        <v>10661.04</v>
      </c>
      <c r="J35" s="5" t="n">
        <f aca="false">I35*0.625</f>
        <v>6663.15</v>
      </c>
      <c r="K35" s="5" t="n">
        <f aca="false">I35-J35</f>
        <v>3997.89</v>
      </c>
      <c r="L35" s="6" t="n">
        <f aca="false">IF(I35=0,0,K35/I35)</f>
        <v>0.375</v>
      </c>
    </row>
    <row r="36" customFormat="false" ht="15" hidden="false" customHeight="false" outlineLevel="0" collapsed="false">
      <c r="A36" s="2" t="n">
        <v>45573</v>
      </c>
      <c r="B36" s="3" t="s">
        <v>33</v>
      </c>
      <c r="C36" s="3" t="s">
        <v>28</v>
      </c>
      <c r="D36" s="3" t="s">
        <v>14</v>
      </c>
      <c r="E36" s="3" t="s">
        <v>15</v>
      </c>
      <c r="F36" s="3" t="s">
        <v>16</v>
      </c>
      <c r="G36" s="4" t="n">
        <v>4</v>
      </c>
      <c r="H36" s="5" t="n">
        <v>30.32</v>
      </c>
      <c r="I36" s="5" t="n">
        <f aca="false">G36*H36</f>
        <v>121.28</v>
      </c>
      <c r="J36" s="5" t="n">
        <f aca="false">I36*0.558</f>
        <v>67.67424</v>
      </c>
      <c r="K36" s="5" t="n">
        <f aca="false">I36-J36</f>
        <v>53.60576</v>
      </c>
      <c r="L36" s="6" t="n">
        <f aca="false">IF(I36=0,0,K36/I36)</f>
        <v>0.442</v>
      </c>
    </row>
    <row r="37" customFormat="false" ht="15" hidden="false" customHeight="false" outlineLevel="0" collapsed="false">
      <c r="A37" s="2" t="n">
        <v>45413</v>
      </c>
      <c r="B37" s="3" t="s">
        <v>45</v>
      </c>
      <c r="C37" s="3" t="s">
        <v>43</v>
      </c>
      <c r="D37" s="3" t="s">
        <v>44</v>
      </c>
      <c r="E37" s="3" t="s">
        <v>47</v>
      </c>
      <c r="F37" s="3" t="s">
        <v>48</v>
      </c>
      <c r="G37" s="4" t="n">
        <v>27</v>
      </c>
      <c r="H37" s="5" t="n">
        <v>596.42</v>
      </c>
      <c r="I37" s="5" t="n">
        <f aca="false">G37*H37</f>
        <v>16103.34</v>
      </c>
      <c r="J37" s="5" t="n">
        <f aca="false">I37*0.493</f>
        <v>7938.94662</v>
      </c>
      <c r="K37" s="5" t="n">
        <f aca="false">I37-J37</f>
        <v>8164.39338</v>
      </c>
      <c r="L37" s="6" t="n">
        <f aca="false">IF(I37=0,0,K37/I37)</f>
        <v>0.507</v>
      </c>
    </row>
    <row r="38" customFormat="false" ht="15" hidden="false" customHeight="false" outlineLevel="0" collapsed="false">
      <c r="A38" s="2" t="n">
        <v>45376</v>
      </c>
      <c r="B38" s="3" t="s">
        <v>40</v>
      </c>
      <c r="C38" s="3" t="s">
        <v>43</v>
      </c>
      <c r="D38" s="3" t="s">
        <v>39</v>
      </c>
      <c r="E38" s="3" t="s">
        <v>41</v>
      </c>
      <c r="F38" s="3" t="s">
        <v>26</v>
      </c>
      <c r="G38" s="4" t="n">
        <v>1</v>
      </c>
      <c r="H38" s="5" t="n">
        <v>457.09</v>
      </c>
      <c r="I38" s="5" t="n">
        <f aca="false">G38*H38</f>
        <v>457.09</v>
      </c>
      <c r="J38" s="5" t="n">
        <f aca="false">I38*0.503</f>
        <v>229.91627</v>
      </c>
      <c r="K38" s="5" t="n">
        <f aca="false">I38-J38</f>
        <v>227.17373</v>
      </c>
      <c r="L38" s="6" t="n">
        <f aca="false">IF(I38=0,0,K38/I38)</f>
        <v>0.497</v>
      </c>
    </row>
    <row r="39" customFormat="false" ht="15" hidden="false" customHeight="false" outlineLevel="0" collapsed="false">
      <c r="A39" s="2" t="n">
        <v>45508</v>
      </c>
      <c r="B39" s="3" t="s">
        <v>49</v>
      </c>
      <c r="C39" s="3" t="s">
        <v>28</v>
      </c>
      <c r="D39" s="3" t="s">
        <v>44</v>
      </c>
      <c r="E39" s="3" t="s">
        <v>25</v>
      </c>
      <c r="F39" s="3" t="s">
        <v>26</v>
      </c>
      <c r="G39" s="4" t="n">
        <v>10</v>
      </c>
      <c r="H39" s="5" t="n">
        <v>407.23</v>
      </c>
      <c r="I39" s="5" t="n">
        <f aca="false">G39*H39</f>
        <v>4072.3</v>
      </c>
      <c r="J39" s="5" t="n">
        <f aca="false">I39*0.494</f>
        <v>2011.7162</v>
      </c>
      <c r="K39" s="5" t="n">
        <f aca="false">I39-J39</f>
        <v>2060.5838</v>
      </c>
      <c r="L39" s="6" t="n">
        <f aca="false">IF(I39=0,0,K39/I39)</f>
        <v>0.506</v>
      </c>
    </row>
    <row r="40" customFormat="false" ht="15" hidden="false" customHeight="false" outlineLevel="0" collapsed="false">
      <c r="A40" s="2" t="n">
        <v>45452</v>
      </c>
      <c r="B40" s="3" t="s">
        <v>27</v>
      </c>
      <c r="C40" s="3" t="s">
        <v>20</v>
      </c>
      <c r="D40" s="3" t="s">
        <v>37</v>
      </c>
      <c r="E40" s="3" t="s">
        <v>22</v>
      </c>
      <c r="F40" s="3" t="s">
        <v>23</v>
      </c>
      <c r="G40" s="4" t="n">
        <v>4</v>
      </c>
      <c r="H40" s="5" t="n">
        <v>1331.8</v>
      </c>
      <c r="I40" s="5" t="n">
        <f aca="false">G40*H40</f>
        <v>5327.2</v>
      </c>
      <c r="J40" s="5" t="n">
        <f aca="false">I40*0.551</f>
        <v>2935.2872</v>
      </c>
      <c r="K40" s="5" t="n">
        <f aca="false">I40-J40</f>
        <v>2391.9128</v>
      </c>
      <c r="L40" s="6" t="n">
        <f aca="false">IF(I40=0,0,K40/I40)</f>
        <v>0.449</v>
      </c>
    </row>
    <row r="41" customFormat="false" ht="15" hidden="false" customHeight="false" outlineLevel="0" collapsed="false">
      <c r="A41" s="2" t="n">
        <v>45321</v>
      </c>
      <c r="B41" s="3" t="s">
        <v>46</v>
      </c>
      <c r="C41" s="3" t="s">
        <v>13</v>
      </c>
      <c r="D41" s="3" t="s">
        <v>21</v>
      </c>
      <c r="E41" s="3" t="s">
        <v>15</v>
      </c>
      <c r="F41" s="3" t="s">
        <v>16</v>
      </c>
      <c r="G41" s="4" t="n">
        <v>12</v>
      </c>
      <c r="H41" s="5" t="n">
        <v>25.25</v>
      </c>
      <c r="I41" s="5" t="n">
        <f aca="false">G41*H41</f>
        <v>303</v>
      </c>
      <c r="J41" s="5" t="n">
        <f aca="false">I41*0.464</f>
        <v>140.592</v>
      </c>
      <c r="K41" s="5" t="n">
        <f aca="false">I41-J41</f>
        <v>162.408</v>
      </c>
      <c r="L41" s="6" t="n">
        <f aca="false">IF(I41=0,0,K41/I41)</f>
        <v>0.536</v>
      </c>
    </row>
    <row r="42" customFormat="false" ht="15" hidden="false" customHeight="false" outlineLevel="0" collapsed="false">
      <c r="A42" s="2" t="n">
        <v>45353</v>
      </c>
      <c r="B42" s="3" t="s">
        <v>40</v>
      </c>
      <c r="C42" s="3" t="s">
        <v>43</v>
      </c>
      <c r="D42" s="3" t="s">
        <v>34</v>
      </c>
      <c r="E42" s="3" t="s">
        <v>36</v>
      </c>
      <c r="F42" s="3" t="s">
        <v>16</v>
      </c>
      <c r="G42" s="4" t="n">
        <v>38</v>
      </c>
      <c r="H42" s="5" t="n">
        <v>91.52</v>
      </c>
      <c r="I42" s="5" t="n">
        <f aca="false">G42*H42</f>
        <v>3477.76</v>
      </c>
      <c r="J42" s="5" t="n">
        <f aca="false">I42*0.574</f>
        <v>1996.23424</v>
      </c>
      <c r="K42" s="5" t="n">
        <f aca="false">I42-J42</f>
        <v>1481.52576</v>
      </c>
      <c r="L42" s="6" t="n">
        <f aca="false">IF(I42=0,0,K42/I42)</f>
        <v>0.426</v>
      </c>
    </row>
    <row r="43" customFormat="false" ht="15" hidden="false" customHeight="false" outlineLevel="0" collapsed="false">
      <c r="A43" s="2" t="n">
        <v>45425</v>
      </c>
      <c r="B43" s="3" t="s">
        <v>45</v>
      </c>
      <c r="C43" s="3" t="s">
        <v>43</v>
      </c>
      <c r="D43" s="3" t="s">
        <v>37</v>
      </c>
      <c r="E43" s="3" t="s">
        <v>36</v>
      </c>
      <c r="F43" s="3" t="s">
        <v>16</v>
      </c>
      <c r="G43" s="4" t="n">
        <v>43</v>
      </c>
      <c r="H43" s="5" t="n">
        <v>94.77</v>
      </c>
      <c r="I43" s="5" t="n">
        <f aca="false">G43*H43</f>
        <v>4075.11</v>
      </c>
      <c r="J43" s="5" t="n">
        <f aca="false">I43*0.498</f>
        <v>2029.40478</v>
      </c>
      <c r="K43" s="5" t="n">
        <f aca="false">I43-J43</f>
        <v>2045.70522</v>
      </c>
      <c r="L43" s="6" t="n">
        <f aca="false">IF(I43=0,0,K43/I43)</f>
        <v>0.502</v>
      </c>
    </row>
    <row r="44" customFormat="false" ht="15" hidden="false" customHeight="false" outlineLevel="0" collapsed="false">
      <c r="A44" s="2" t="n">
        <v>45635</v>
      </c>
      <c r="B44" s="3" t="s">
        <v>17</v>
      </c>
      <c r="C44" s="3" t="s">
        <v>28</v>
      </c>
      <c r="D44" s="3" t="s">
        <v>44</v>
      </c>
      <c r="E44" s="3" t="s">
        <v>29</v>
      </c>
      <c r="F44" s="3" t="s">
        <v>30</v>
      </c>
      <c r="G44" s="4" t="n">
        <v>30</v>
      </c>
      <c r="H44" s="5" t="n">
        <v>42.52</v>
      </c>
      <c r="I44" s="5" t="n">
        <f aca="false">G44*H44</f>
        <v>1275.6</v>
      </c>
      <c r="J44" s="5" t="n">
        <f aca="false">I44*0.6</f>
        <v>765.36</v>
      </c>
      <c r="K44" s="5" t="n">
        <f aca="false">I44-J44</f>
        <v>510.24</v>
      </c>
      <c r="L44" s="6" t="n">
        <f aca="false">IF(I44=0,0,K44/I44)</f>
        <v>0.4</v>
      </c>
    </row>
    <row r="45" customFormat="false" ht="15" hidden="false" customHeight="false" outlineLevel="0" collapsed="false">
      <c r="A45" s="2" t="n">
        <v>45526</v>
      </c>
      <c r="B45" s="3" t="s">
        <v>49</v>
      </c>
      <c r="C45" s="3" t="s">
        <v>13</v>
      </c>
      <c r="D45" s="3" t="s">
        <v>34</v>
      </c>
      <c r="E45" s="3" t="s">
        <v>15</v>
      </c>
      <c r="F45" s="3" t="s">
        <v>16</v>
      </c>
      <c r="G45" s="4" t="n">
        <v>5</v>
      </c>
      <c r="H45" s="5" t="n">
        <v>29.33</v>
      </c>
      <c r="I45" s="5" t="n">
        <f aca="false">G45*H45</f>
        <v>146.65</v>
      </c>
      <c r="J45" s="5" t="n">
        <f aca="false">I45*0.551</f>
        <v>80.80415</v>
      </c>
      <c r="K45" s="5" t="n">
        <f aca="false">I45-J45</f>
        <v>65.84585</v>
      </c>
      <c r="L45" s="6" t="n">
        <f aca="false">IF(I45=0,0,K45/I45)</f>
        <v>0.449</v>
      </c>
    </row>
    <row r="46" customFormat="false" ht="15" hidden="false" customHeight="false" outlineLevel="0" collapsed="false">
      <c r="A46" s="2" t="n">
        <v>45327</v>
      </c>
      <c r="B46" s="3" t="s">
        <v>42</v>
      </c>
      <c r="C46" s="3" t="s">
        <v>20</v>
      </c>
      <c r="D46" s="3" t="s">
        <v>39</v>
      </c>
      <c r="E46" s="3" t="s">
        <v>36</v>
      </c>
      <c r="F46" s="3" t="s">
        <v>16</v>
      </c>
      <c r="G46" s="4" t="n">
        <v>24</v>
      </c>
      <c r="H46" s="5" t="n">
        <v>83.26</v>
      </c>
      <c r="I46" s="5" t="n">
        <f aca="false">G46*H46</f>
        <v>1998.24</v>
      </c>
      <c r="J46" s="5" t="n">
        <f aca="false">I46*0.538</f>
        <v>1075.05312</v>
      </c>
      <c r="K46" s="5" t="n">
        <f aca="false">I46-J46</f>
        <v>923.18688</v>
      </c>
      <c r="L46" s="6" t="n">
        <f aca="false">IF(I46=0,0,K46/I46)</f>
        <v>0.462</v>
      </c>
    </row>
    <row r="47" customFormat="false" ht="15" hidden="false" customHeight="false" outlineLevel="0" collapsed="false">
      <c r="A47" s="2" t="n">
        <v>45605</v>
      </c>
      <c r="B47" s="3" t="s">
        <v>12</v>
      </c>
      <c r="C47" s="3" t="s">
        <v>28</v>
      </c>
      <c r="D47" s="3" t="s">
        <v>37</v>
      </c>
      <c r="E47" s="3" t="s">
        <v>22</v>
      </c>
      <c r="F47" s="3" t="s">
        <v>23</v>
      </c>
      <c r="G47" s="4" t="n">
        <v>43</v>
      </c>
      <c r="H47" s="5" t="n">
        <v>1422.58</v>
      </c>
      <c r="I47" s="5" t="n">
        <f aca="false">G47*H47</f>
        <v>61170.94</v>
      </c>
      <c r="J47" s="5" t="n">
        <f aca="false">I47*0.51</f>
        <v>31197.1794</v>
      </c>
      <c r="K47" s="5" t="n">
        <f aca="false">I47-J47</f>
        <v>29973.7606</v>
      </c>
      <c r="L47" s="6" t="n">
        <f aca="false">IF(I47=0,0,K47/I47)</f>
        <v>0.49</v>
      </c>
    </row>
    <row r="48" customFormat="false" ht="15" hidden="false" customHeight="false" outlineLevel="0" collapsed="false">
      <c r="A48" s="2" t="n">
        <v>45427</v>
      </c>
      <c r="B48" s="3" t="s">
        <v>45</v>
      </c>
      <c r="C48" s="3" t="s">
        <v>35</v>
      </c>
      <c r="D48" s="3" t="s">
        <v>18</v>
      </c>
      <c r="E48" s="3" t="s">
        <v>15</v>
      </c>
      <c r="F48" s="3" t="s">
        <v>16</v>
      </c>
      <c r="G48" s="4" t="n">
        <v>7</v>
      </c>
      <c r="H48" s="5" t="n">
        <v>31.11</v>
      </c>
      <c r="I48" s="5" t="n">
        <f aca="false">G48*H48</f>
        <v>217.77</v>
      </c>
      <c r="J48" s="5" t="n">
        <f aca="false">I48*0.481</f>
        <v>104.74737</v>
      </c>
      <c r="K48" s="5" t="n">
        <f aca="false">I48-J48</f>
        <v>113.02263</v>
      </c>
      <c r="L48" s="6" t="n">
        <f aca="false">IF(I48=0,0,K48/I48)</f>
        <v>0.519</v>
      </c>
    </row>
    <row r="49" customFormat="false" ht="15" hidden="false" customHeight="false" outlineLevel="0" collapsed="false">
      <c r="A49" s="2" t="n">
        <v>45467</v>
      </c>
      <c r="B49" s="3" t="s">
        <v>27</v>
      </c>
      <c r="C49" s="3" t="s">
        <v>43</v>
      </c>
      <c r="D49" s="3" t="s">
        <v>39</v>
      </c>
      <c r="E49" s="3" t="s">
        <v>36</v>
      </c>
      <c r="F49" s="3" t="s">
        <v>16</v>
      </c>
      <c r="G49" s="4" t="n">
        <v>44</v>
      </c>
      <c r="H49" s="5" t="n">
        <v>92.58</v>
      </c>
      <c r="I49" s="5" t="n">
        <f aca="false">G49*H49</f>
        <v>4073.52</v>
      </c>
      <c r="J49" s="5" t="n">
        <f aca="false">I49*0.503</f>
        <v>2048.98056</v>
      </c>
      <c r="K49" s="5" t="n">
        <f aca="false">I49-J49</f>
        <v>2024.53944</v>
      </c>
      <c r="L49" s="6" t="n">
        <f aca="false">IF(I49=0,0,K49/I49)</f>
        <v>0.497</v>
      </c>
    </row>
    <row r="50" customFormat="false" ht="15" hidden="false" customHeight="false" outlineLevel="0" collapsed="false">
      <c r="A50" s="2" t="n">
        <v>45318</v>
      </c>
      <c r="B50" s="3" t="s">
        <v>46</v>
      </c>
      <c r="C50" s="3" t="s">
        <v>28</v>
      </c>
      <c r="D50" s="3" t="s">
        <v>34</v>
      </c>
      <c r="E50" s="3" t="s">
        <v>15</v>
      </c>
      <c r="F50" s="3" t="s">
        <v>16</v>
      </c>
      <c r="G50" s="4" t="n">
        <v>41</v>
      </c>
      <c r="H50" s="5" t="n">
        <v>28.34</v>
      </c>
      <c r="I50" s="5" t="n">
        <f aca="false">G50*H50</f>
        <v>1161.94</v>
      </c>
      <c r="J50" s="5" t="n">
        <f aca="false">I50*0.505</f>
        <v>586.7797</v>
      </c>
      <c r="K50" s="5" t="n">
        <f aca="false">I50-J50</f>
        <v>575.1603</v>
      </c>
      <c r="L50" s="6" t="n">
        <f aca="false">IF(I50=0,0,K50/I50)</f>
        <v>0.495</v>
      </c>
    </row>
    <row r="51" customFormat="false" ht="15" hidden="false" customHeight="false" outlineLevel="0" collapsed="false">
      <c r="A51" s="2" t="n">
        <v>45358</v>
      </c>
      <c r="B51" s="3" t="s">
        <v>40</v>
      </c>
      <c r="C51" s="3" t="s">
        <v>43</v>
      </c>
      <c r="D51" s="3" t="s">
        <v>44</v>
      </c>
      <c r="E51" s="3" t="s">
        <v>29</v>
      </c>
      <c r="F51" s="3" t="s">
        <v>30</v>
      </c>
      <c r="G51" s="4" t="n">
        <v>11</v>
      </c>
      <c r="H51" s="5" t="n">
        <v>48.26</v>
      </c>
      <c r="I51" s="5" t="n">
        <f aca="false">G51*H51</f>
        <v>530.86</v>
      </c>
      <c r="J51" s="5" t="n">
        <f aca="false">I51*0.56</f>
        <v>297.2816</v>
      </c>
      <c r="K51" s="5" t="n">
        <f aca="false">I51-J51</f>
        <v>233.5784</v>
      </c>
      <c r="L51" s="6" t="n">
        <f aca="false">IF(I51=0,0,K51/I51)</f>
        <v>0.44</v>
      </c>
    </row>
    <row r="52" customFormat="false" ht="15" hidden="false" customHeight="false" outlineLevel="0" collapsed="false">
      <c r="A52" s="2" t="n">
        <v>45349</v>
      </c>
      <c r="B52" s="3" t="s">
        <v>42</v>
      </c>
      <c r="C52" s="3" t="s">
        <v>35</v>
      </c>
      <c r="D52" s="3" t="s">
        <v>37</v>
      </c>
      <c r="E52" s="3" t="s">
        <v>15</v>
      </c>
      <c r="F52" s="3" t="s">
        <v>16</v>
      </c>
      <c r="G52" s="4" t="n">
        <v>45</v>
      </c>
      <c r="H52" s="5" t="n">
        <v>32.51</v>
      </c>
      <c r="I52" s="5" t="n">
        <f aca="false">G52*H52</f>
        <v>1462.95</v>
      </c>
      <c r="J52" s="5" t="n">
        <f aca="false">I52*0.559</f>
        <v>817.78905</v>
      </c>
      <c r="K52" s="5" t="n">
        <f aca="false">I52-J52</f>
        <v>645.16095</v>
      </c>
      <c r="L52" s="6" t="n">
        <f aca="false">IF(I52=0,0,K52/I52)</f>
        <v>0.441</v>
      </c>
    </row>
    <row r="53" customFormat="false" ht="15" hidden="false" customHeight="false" outlineLevel="0" collapsed="false">
      <c r="A53" s="2" t="n">
        <v>45512</v>
      </c>
      <c r="B53" s="3" t="s">
        <v>49</v>
      </c>
      <c r="C53" s="3" t="s">
        <v>28</v>
      </c>
      <c r="D53" s="3" t="s">
        <v>34</v>
      </c>
      <c r="E53" s="3" t="s">
        <v>47</v>
      </c>
      <c r="F53" s="3" t="s">
        <v>48</v>
      </c>
      <c r="G53" s="4" t="n">
        <v>3</v>
      </c>
      <c r="H53" s="5" t="n">
        <v>564.54</v>
      </c>
      <c r="I53" s="5" t="n">
        <f aca="false">G53*H53</f>
        <v>1693.62</v>
      </c>
      <c r="J53" s="5" t="n">
        <f aca="false">I53*0.63</f>
        <v>1066.9806</v>
      </c>
      <c r="K53" s="5" t="n">
        <f aca="false">I53-J53</f>
        <v>626.6394</v>
      </c>
      <c r="L53" s="6" t="n">
        <f aca="false">IF(I53=0,0,K53/I53)</f>
        <v>0.37</v>
      </c>
    </row>
    <row r="54" customFormat="false" ht="15" hidden="false" customHeight="false" outlineLevel="0" collapsed="false">
      <c r="A54" s="2" t="n">
        <v>45399</v>
      </c>
      <c r="B54" s="3" t="s">
        <v>24</v>
      </c>
      <c r="C54" s="3" t="s">
        <v>43</v>
      </c>
      <c r="D54" s="3" t="s">
        <v>37</v>
      </c>
      <c r="E54" s="3" t="s">
        <v>36</v>
      </c>
      <c r="F54" s="3" t="s">
        <v>16</v>
      </c>
      <c r="G54" s="4" t="n">
        <v>43</v>
      </c>
      <c r="H54" s="5" t="n">
        <v>78.39</v>
      </c>
      <c r="I54" s="5" t="n">
        <f aca="false">G54*H54</f>
        <v>3370.77</v>
      </c>
      <c r="J54" s="5" t="n">
        <f aca="false">I54*0.606</f>
        <v>2042.68662</v>
      </c>
      <c r="K54" s="5" t="n">
        <f aca="false">I54-J54</f>
        <v>1328.08338</v>
      </c>
      <c r="L54" s="6" t="n">
        <f aca="false">IF(I54=0,0,K54/I54)</f>
        <v>0.394</v>
      </c>
    </row>
    <row r="55" customFormat="false" ht="15" hidden="false" customHeight="false" outlineLevel="0" collapsed="false">
      <c r="A55" s="2" t="n">
        <v>45413</v>
      </c>
      <c r="B55" s="3" t="s">
        <v>45</v>
      </c>
      <c r="C55" s="3" t="s">
        <v>35</v>
      </c>
      <c r="D55" s="3" t="s">
        <v>21</v>
      </c>
      <c r="E55" s="3" t="s">
        <v>47</v>
      </c>
      <c r="F55" s="3" t="s">
        <v>48</v>
      </c>
      <c r="G55" s="4" t="n">
        <v>12</v>
      </c>
      <c r="H55" s="5" t="n">
        <v>667.54</v>
      </c>
      <c r="I55" s="5" t="n">
        <f aca="false">G55*H55</f>
        <v>8010.48</v>
      </c>
      <c r="J55" s="5" t="n">
        <f aca="false">I55*0.455</f>
        <v>3644.7684</v>
      </c>
      <c r="K55" s="5" t="n">
        <f aca="false">I55-J55</f>
        <v>4365.7116</v>
      </c>
      <c r="L55" s="6" t="n">
        <f aca="false">IF(I55=0,0,K55/I55)</f>
        <v>0.545</v>
      </c>
    </row>
    <row r="56" customFormat="false" ht="15" hidden="false" customHeight="false" outlineLevel="0" collapsed="false">
      <c r="A56" s="2" t="n">
        <v>45634</v>
      </c>
      <c r="B56" s="3" t="s">
        <v>17</v>
      </c>
      <c r="C56" s="3" t="s">
        <v>43</v>
      </c>
      <c r="D56" s="3" t="s">
        <v>44</v>
      </c>
      <c r="E56" s="3" t="s">
        <v>36</v>
      </c>
      <c r="F56" s="3" t="s">
        <v>16</v>
      </c>
      <c r="G56" s="4" t="n">
        <v>18</v>
      </c>
      <c r="H56" s="5" t="n">
        <v>79.9</v>
      </c>
      <c r="I56" s="5" t="n">
        <f aca="false">G56*H56</f>
        <v>1438.2</v>
      </c>
      <c r="J56" s="5" t="n">
        <f aca="false">I56*0.59</f>
        <v>848.538</v>
      </c>
      <c r="K56" s="5" t="n">
        <f aca="false">I56-J56</f>
        <v>589.662</v>
      </c>
      <c r="L56" s="6" t="n">
        <f aca="false">IF(I56=0,0,K56/I56)</f>
        <v>0.41</v>
      </c>
    </row>
    <row r="57" customFormat="false" ht="15" hidden="false" customHeight="false" outlineLevel="0" collapsed="false">
      <c r="A57" s="2" t="n">
        <v>45532</v>
      </c>
      <c r="B57" s="3" t="s">
        <v>49</v>
      </c>
      <c r="C57" s="3" t="s">
        <v>35</v>
      </c>
      <c r="D57" s="3" t="s">
        <v>18</v>
      </c>
      <c r="E57" s="3" t="s">
        <v>36</v>
      </c>
      <c r="F57" s="3" t="s">
        <v>16</v>
      </c>
      <c r="G57" s="4" t="n">
        <v>13</v>
      </c>
      <c r="H57" s="5" t="n">
        <v>97.45</v>
      </c>
      <c r="I57" s="5" t="n">
        <f aca="false">G57*H57</f>
        <v>1266.85</v>
      </c>
      <c r="J57" s="5" t="n">
        <f aca="false">I57*0.542</f>
        <v>686.6327</v>
      </c>
      <c r="K57" s="5" t="n">
        <f aca="false">I57-J57</f>
        <v>580.2173</v>
      </c>
      <c r="L57" s="6" t="n">
        <f aca="false">IF(I57=0,0,K57/I57)</f>
        <v>0.458</v>
      </c>
    </row>
    <row r="58" customFormat="false" ht="15" hidden="false" customHeight="false" outlineLevel="0" collapsed="false">
      <c r="A58" s="2" t="n">
        <v>45406</v>
      </c>
      <c r="B58" s="3" t="s">
        <v>24</v>
      </c>
      <c r="C58" s="3" t="s">
        <v>28</v>
      </c>
      <c r="D58" s="3" t="s">
        <v>39</v>
      </c>
      <c r="E58" s="3" t="s">
        <v>22</v>
      </c>
      <c r="F58" s="3" t="s">
        <v>23</v>
      </c>
      <c r="G58" s="4" t="n">
        <v>43</v>
      </c>
      <c r="H58" s="5" t="n">
        <v>1179.41</v>
      </c>
      <c r="I58" s="5" t="n">
        <f aca="false">G58*H58</f>
        <v>50714.63</v>
      </c>
      <c r="J58" s="5" t="n">
        <f aca="false">I58*0.516</f>
        <v>26168.74908</v>
      </c>
      <c r="K58" s="5" t="n">
        <f aca="false">I58-J58</f>
        <v>24545.88092</v>
      </c>
      <c r="L58" s="6" t="n">
        <f aca="false">IF(I58=0,0,K58/I58)</f>
        <v>0.484</v>
      </c>
    </row>
    <row r="59" customFormat="false" ht="15" hidden="false" customHeight="false" outlineLevel="0" collapsed="false">
      <c r="A59" s="2" t="n">
        <v>45471</v>
      </c>
      <c r="B59" s="3" t="s">
        <v>27</v>
      </c>
      <c r="C59" s="3" t="s">
        <v>28</v>
      </c>
      <c r="D59" s="3" t="s">
        <v>14</v>
      </c>
      <c r="E59" s="3" t="s">
        <v>41</v>
      </c>
      <c r="F59" s="3" t="s">
        <v>26</v>
      </c>
      <c r="G59" s="4" t="n">
        <v>44</v>
      </c>
      <c r="H59" s="5" t="n">
        <v>456.59</v>
      </c>
      <c r="I59" s="5" t="n">
        <f aca="false">G59*H59</f>
        <v>20089.96</v>
      </c>
      <c r="J59" s="5" t="n">
        <f aca="false">I59*0.557</f>
        <v>11190.10772</v>
      </c>
      <c r="K59" s="5" t="n">
        <f aca="false">I59-J59</f>
        <v>8899.85228</v>
      </c>
      <c r="L59" s="6" t="n">
        <f aca="false">IF(I59=0,0,K59/I59)</f>
        <v>0.443</v>
      </c>
    </row>
    <row r="60" customFormat="false" ht="15" hidden="false" customHeight="false" outlineLevel="0" collapsed="false">
      <c r="A60" s="2" t="n">
        <v>45425</v>
      </c>
      <c r="B60" s="3" t="s">
        <v>45</v>
      </c>
      <c r="C60" s="3" t="s">
        <v>28</v>
      </c>
      <c r="D60" s="3" t="s">
        <v>21</v>
      </c>
      <c r="E60" s="3" t="s">
        <v>47</v>
      </c>
      <c r="F60" s="3" t="s">
        <v>48</v>
      </c>
      <c r="G60" s="4" t="n">
        <v>38</v>
      </c>
      <c r="H60" s="5" t="n">
        <v>682.12</v>
      </c>
      <c r="I60" s="5" t="n">
        <f aca="false">G60*H60</f>
        <v>25920.56</v>
      </c>
      <c r="J60" s="5" t="n">
        <f aca="false">I60*0.503</f>
        <v>13038.04168</v>
      </c>
      <c r="K60" s="5" t="n">
        <f aca="false">I60-J60</f>
        <v>12882.51832</v>
      </c>
      <c r="L60" s="6" t="n">
        <f aca="false">IF(I60=0,0,K60/I60)</f>
        <v>0.497</v>
      </c>
    </row>
    <row r="61" customFormat="false" ht="15" hidden="false" customHeight="false" outlineLevel="0" collapsed="false">
      <c r="A61" s="2" t="n">
        <v>45468</v>
      </c>
      <c r="B61" s="3" t="s">
        <v>27</v>
      </c>
      <c r="C61" s="3" t="s">
        <v>43</v>
      </c>
      <c r="D61" s="3" t="s">
        <v>18</v>
      </c>
      <c r="E61" s="3" t="s">
        <v>38</v>
      </c>
      <c r="F61" s="3" t="s">
        <v>30</v>
      </c>
      <c r="G61" s="4" t="n">
        <v>28</v>
      </c>
      <c r="H61" s="5" t="n">
        <v>133.11</v>
      </c>
      <c r="I61" s="5" t="n">
        <f aca="false">G61*H61</f>
        <v>3727.08</v>
      </c>
      <c r="J61" s="5" t="n">
        <f aca="false">I61*0.552</f>
        <v>2057.34816</v>
      </c>
      <c r="K61" s="5" t="n">
        <f aca="false">I61-J61</f>
        <v>1669.73184</v>
      </c>
      <c r="L61" s="6" t="n">
        <f aca="false">IF(I61=0,0,K61/I61)</f>
        <v>0.448</v>
      </c>
    </row>
    <row r="62" customFormat="false" ht="15" hidden="false" customHeight="false" outlineLevel="0" collapsed="false">
      <c r="A62" s="2" t="n">
        <v>45422</v>
      </c>
      <c r="B62" s="3" t="s">
        <v>45</v>
      </c>
      <c r="C62" s="3" t="s">
        <v>20</v>
      </c>
      <c r="D62" s="3" t="s">
        <v>18</v>
      </c>
      <c r="E62" s="3" t="s">
        <v>22</v>
      </c>
      <c r="F62" s="3" t="s">
        <v>23</v>
      </c>
      <c r="G62" s="4" t="n">
        <v>46</v>
      </c>
      <c r="H62" s="5" t="n">
        <v>1274.08</v>
      </c>
      <c r="I62" s="5" t="n">
        <f aca="false">G62*H62</f>
        <v>58607.68</v>
      </c>
      <c r="J62" s="5" t="n">
        <f aca="false">I62*0.554</f>
        <v>32468.65472</v>
      </c>
      <c r="K62" s="5" t="n">
        <f aca="false">I62-J62</f>
        <v>26139.02528</v>
      </c>
      <c r="L62" s="6" t="n">
        <f aca="false">IF(I62=0,0,K62/I62)</f>
        <v>0.446</v>
      </c>
    </row>
    <row r="63" customFormat="false" ht="15" hidden="false" customHeight="false" outlineLevel="0" collapsed="false">
      <c r="A63" s="2" t="n">
        <v>45478</v>
      </c>
      <c r="B63" s="3" t="s">
        <v>31</v>
      </c>
      <c r="C63" s="3" t="s">
        <v>20</v>
      </c>
      <c r="D63" s="3" t="s">
        <v>34</v>
      </c>
      <c r="E63" s="3" t="s">
        <v>41</v>
      </c>
      <c r="F63" s="3" t="s">
        <v>26</v>
      </c>
      <c r="G63" s="4" t="n">
        <v>5</v>
      </c>
      <c r="H63" s="5" t="n">
        <v>452.73</v>
      </c>
      <c r="I63" s="5" t="n">
        <f aca="false">G63*H63</f>
        <v>2263.65</v>
      </c>
      <c r="J63" s="5" t="n">
        <f aca="false">I63*0.634</f>
        <v>1435.1541</v>
      </c>
      <c r="K63" s="5" t="n">
        <f aca="false">I63-J63</f>
        <v>828.4959</v>
      </c>
      <c r="L63" s="6" t="n">
        <f aca="false">IF(I63=0,0,K63/I63)</f>
        <v>0.366</v>
      </c>
    </row>
    <row r="64" customFormat="false" ht="15" hidden="false" customHeight="false" outlineLevel="0" collapsed="false">
      <c r="A64" s="2" t="n">
        <v>45631</v>
      </c>
      <c r="B64" s="3" t="s">
        <v>17</v>
      </c>
      <c r="C64" s="3" t="s">
        <v>43</v>
      </c>
      <c r="D64" s="3" t="s">
        <v>34</v>
      </c>
      <c r="E64" s="3" t="s">
        <v>15</v>
      </c>
      <c r="F64" s="3" t="s">
        <v>16</v>
      </c>
      <c r="G64" s="4" t="n">
        <v>47</v>
      </c>
      <c r="H64" s="5" t="n">
        <v>32.48</v>
      </c>
      <c r="I64" s="5" t="n">
        <f aca="false">G64*H64</f>
        <v>1526.56</v>
      </c>
      <c r="J64" s="5" t="n">
        <f aca="false">I64*0.551</f>
        <v>841.13456</v>
      </c>
      <c r="K64" s="5" t="n">
        <f aca="false">I64-J64</f>
        <v>685.42544</v>
      </c>
      <c r="L64" s="6" t="n">
        <f aca="false">IF(I64=0,0,K64/I64)</f>
        <v>0.449</v>
      </c>
    </row>
    <row r="65" customFormat="false" ht="15" hidden="false" customHeight="false" outlineLevel="0" collapsed="false">
      <c r="A65" s="2" t="n">
        <v>45498</v>
      </c>
      <c r="B65" s="3" t="s">
        <v>31</v>
      </c>
      <c r="C65" s="3" t="s">
        <v>43</v>
      </c>
      <c r="D65" s="3" t="s">
        <v>37</v>
      </c>
      <c r="E65" s="3" t="s">
        <v>29</v>
      </c>
      <c r="F65" s="3" t="s">
        <v>30</v>
      </c>
      <c r="G65" s="4" t="n">
        <v>36</v>
      </c>
      <c r="H65" s="5" t="n">
        <v>39.97</v>
      </c>
      <c r="I65" s="5" t="n">
        <f aca="false">G65*H65</f>
        <v>1438.92</v>
      </c>
      <c r="J65" s="5" t="n">
        <f aca="false">I65*0.534</f>
        <v>768.38328</v>
      </c>
      <c r="K65" s="5" t="n">
        <f aca="false">I65-J65</f>
        <v>670.53672</v>
      </c>
      <c r="L65" s="6" t="n">
        <f aca="false">IF(I65=0,0,K65/I65)</f>
        <v>0.466</v>
      </c>
    </row>
    <row r="66" customFormat="false" ht="15" hidden="false" customHeight="false" outlineLevel="0" collapsed="false">
      <c r="A66" s="2" t="n">
        <v>45607</v>
      </c>
      <c r="B66" s="3" t="s">
        <v>12</v>
      </c>
      <c r="C66" s="3" t="s">
        <v>35</v>
      </c>
      <c r="D66" s="3" t="s">
        <v>18</v>
      </c>
      <c r="E66" s="3" t="s">
        <v>29</v>
      </c>
      <c r="F66" s="3" t="s">
        <v>30</v>
      </c>
      <c r="G66" s="4" t="n">
        <v>26</v>
      </c>
      <c r="H66" s="5" t="n">
        <v>45.65</v>
      </c>
      <c r="I66" s="5" t="n">
        <f aca="false">G66*H66</f>
        <v>1186.9</v>
      </c>
      <c r="J66" s="5" t="n">
        <f aca="false">I66*0.45</f>
        <v>534.105</v>
      </c>
      <c r="K66" s="5" t="n">
        <f aca="false">I66-J66</f>
        <v>652.795</v>
      </c>
      <c r="L66" s="6" t="n">
        <f aca="false">IF(I66=0,0,K66/I66)</f>
        <v>0.55</v>
      </c>
    </row>
    <row r="67" customFormat="false" ht="15" hidden="false" customHeight="false" outlineLevel="0" collapsed="false">
      <c r="A67" s="2" t="n">
        <v>45512</v>
      </c>
      <c r="B67" s="3" t="s">
        <v>49</v>
      </c>
      <c r="C67" s="3" t="s">
        <v>20</v>
      </c>
      <c r="D67" s="3" t="s">
        <v>32</v>
      </c>
      <c r="E67" s="3" t="s">
        <v>38</v>
      </c>
      <c r="F67" s="3" t="s">
        <v>30</v>
      </c>
      <c r="G67" s="4" t="n">
        <v>30</v>
      </c>
      <c r="H67" s="5" t="n">
        <v>126.75</v>
      </c>
      <c r="I67" s="5" t="n">
        <f aca="false">G67*H67</f>
        <v>3802.5</v>
      </c>
      <c r="J67" s="5" t="n">
        <f aca="false">I67*0.585</f>
        <v>2224.4625</v>
      </c>
      <c r="K67" s="5" t="n">
        <f aca="false">I67-J67</f>
        <v>1578.0375</v>
      </c>
      <c r="L67" s="6" t="n">
        <f aca="false">IF(I67=0,0,K67/I67)</f>
        <v>0.415</v>
      </c>
    </row>
    <row r="68" customFormat="false" ht="15" hidden="false" customHeight="false" outlineLevel="0" collapsed="false">
      <c r="A68" s="2" t="n">
        <v>45378</v>
      </c>
      <c r="B68" s="3" t="s">
        <v>40</v>
      </c>
      <c r="C68" s="3" t="s">
        <v>35</v>
      </c>
      <c r="D68" s="3" t="s">
        <v>14</v>
      </c>
      <c r="E68" s="3" t="s">
        <v>15</v>
      </c>
      <c r="F68" s="3" t="s">
        <v>16</v>
      </c>
      <c r="G68" s="4" t="n">
        <v>19</v>
      </c>
      <c r="H68" s="5" t="n">
        <v>29.13</v>
      </c>
      <c r="I68" s="5" t="n">
        <f aca="false">G68*H68</f>
        <v>553.47</v>
      </c>
      <c r="J68" s="5" t="n">
        <f aca="false">I68*0.577</f>
        <v>319.35219</v>
      </c>
      <c r="K68" s="5" t="n">
        <f aca="false">I68-J68</f>
        <v>234.11781</v>
      </c>
      <c r="L68" s="6" t="n">
        <f aca="false">IF(I68=0,0,K68/I68)</f>
        <v>0.423</v>
      </c>
    </row>
    <row r="69" customFormat="false" ht="15" hidden="false" customHeight="false" outlineLevel="0" collapsed="false">
      <c r="A69" s="2" t="n">
        <v>45412</v>
      </c>
      <c r="B69" s="3" t="s">
        <v>24</v>
      </c>
      <c r="C69" s="3" t="s">
        <v>28</v>
      </c>
      <c r="D69" s="3" t="s">
        <v>18</v>
      </c>
      <c r="E69" s="3" t="s">
        <v>29</v>
      </c>
      <c r="F69" s="3" t="s">
        <v>30</v>
      </c>
      <c r="G69" s="4" t="n">
        <v>15</v>
      </c>
      <c r="H69" s="5" t="n">
        <v>49.14</v>
      </c>
      <c r="I69" s="5" t="n">
        <f aca="false">G69*H69</f>
        <v>737.1</v>
      </c>
      <c r="J69" s="5" t="n">
        <f aca="false">I69*0.479</f>
        <v>353.0709</v>
      </c>
      <c r="K69" s="5" t="n">
        <f aca="false">I69-J69</f>
        <v>384.0291</v>
      </c>
      <c r="L69" s="6" t="n">
        <f aca="false">IF(I69=0,0,K69/I69)</f>
        <v>0.521</v>
      </c>
    </row>
    <row r="70" customFormat="false" ht="15" hidden="false" customHeight="false" outlineLevel="0" collapsed="false">
      <c r="A70" s="2" t="n">
        <v>45535</v>
      </c>
      <c r="B70" s="3" t="s">
        <v>49</v>
      </c>
      <c r="C70" s="3" t="s">
        <v>13</v>
      </c>
      <c r="D70" s="3" t="s">
        <v>21</v>
      </c>
      <c r="E70" s="3" t="s">
        <v>15</v>
      </c>
      <c r="F70" s="3" t="s">
        <v>16</v>
      </c>
      <c r="G70" s="4" t="n">
        <v>30</v>
      </c>
      <c r="H70" s="5" t="n">
        <v>28.26</v>
      </c>
      <c r="I70" s="5" t="n">
        <f aca="false">G70*H70</f>
        <v>847.8</v>
      </c>
      <c r="J70" s="5" t="n">
        <f aca="false">I70*0.576</f>
        <v>488.3328</v>
      </c>
      <c r="K70" s="5" t="n">
        <f aca="false">I70-J70</f>
        <v>359.4672</v>
      </c>
      <c r="L70" s="6" t="n">
        <f aca="false">IF(I70=0,0,K70/I70)</f>
        <v>0.424</v>
      </c>
    </row>
    <row r="71" customFormat="false" ht="15" hidden="false" customHeight="false" outlineLevel="0" collapsed="false">
      <c r="A71" s="2" t="n">
        <v>45545</v>
      </c>
      <c r="B71" s="3" t="s">
        <v>19</v>
      </c>
      <c r="C71" s="3" t="s">
        <v>28</v>
      </c>
      <c r="D71" s="3" t="s">
        <v>21</v>
      </c>
      <c r="E71" s="3" t="s">
        <v>41</v>
      </c>
      <c r="F71" s="3" t="s">
        <v>26</v>
      </c>
      <c r="G71" s="4" t="n">
        <v>16</v>
      </c>
      <c r="H71" s="5" t="n">
        <v>356.81</v>
      </c>
      <c r="I71" s="5" t="n">
        <f aca="false">G71*H71</f>
        <v>5708.96</v>
      </c>
      <c r="J71" s="5" t="n">
        <f aca="false">I71*0.588</f>
        <v>3356.86848</v>
      </c>
      <c r="K71" s="5" t="n">
        <f aca="false">I71-J71</f>
        <v>2352.09152</v>
      </c>
      <c r="L71" s="6" t="n">
        <f aca="false">IF(I71=0,0,K71/I71)</f>
        <v>0.412</v>
      </c>
    </row>
    <row r="72" customFormat="false" ht="15" hidden="false" customHeight="false" outlineLevel="0" collapsed="false">
      <c r="A72" s="2" t="n">
        <v>45404</v>
      </c>
      <c r="B72" s="3" t="s">
        <v>24</v>
      </c>
      <c r="C72" s="3" t="s">
        <v>13</v>
      </c>
      <c r="D72" s="3" t="s">
        <v>14</v>
      </c>
      <c r="E72" s="3" t="s">
        <v>47</v>
      </c>
      <c r="F72" s="3" t="s">
        <v>48</v>
      </c>
      <c r="G72" s="4" t="n">
        <v>45</v>
      </c>
      <c r="H72" s="5" t="n">
        <v>602.23</v>
      </c>
      <c r="I72" s="5" t="n">
        <f aca="false">G72*H72</f>
        <v>27100.35</v>
      </c>
      <c r="J72" s="5" t="n">
        <f aca="false">I72*0.46</f>
        <v>12466.161</v>
      </c>
      <c r="K72" s="5" t="n">
        <f aca="false">I72-J72</f>
        <v>14634.189</v>
      </c>
      <c r="L72" s="6" t="n">
        <f aca="false">IF(I72=0,0,K72/I72)</f>
        <v>0.54</v>
      </c>
    </row>
    <row r="73" customFormat="false" ht="15" hidden="false" customHeight="false" outlineLevel="0" collapsed="false">
      <c r="A73" s="2" t="n">
        <v>45525</v>
      </c>
      <c r="B73" s="3" t="s">
        <v>49</v>
      </c>
      <c r="C73" s="3" t="s">
        <v>20</v>
      </c>
      <c r="D73" s="3" t="s">
        <v>34</v>
      </c>
      <c r="E73" s="3" t="s">
        <v>47</v>
      </c>
      <c r="F73" s="3" t="s">
        <v>48</v>
      </c>
      <c r="G73" s="4" t="n">
        <v>30</v>
      </c>
      <c r="H73" s="5" t="n">
        <v>629.11</v>
      </c>
      <c r="I73" s="5" t="n">
        <f aca="false">G73*H73</f>
        <v>18873.3</v>
      </c>
      <c r="J73" s="5" t="n">
        <f aca="false">I73*0.648</f>
        <v>12229.8984</v>
      </c>
      <c r="K73" s="5" t="n">
        <f aca="false">I73-J73</f>
        <v>6643.4016</v>
      </c>
      <c r="L73" s="6" t="n">
        <f aca="false">IF(I73=0,0,K73/I73)</f>
        <v>0.352</v>
      </c>
    </row>
    <row r="74" customFormat="false" ht="15" hidden="false" customHeight="false" outlineLevel="0" collapsed="false">
      <c r="A74" s="2" t="n">
        <v>45518</v>
      </c>
      <c r="B74" s="3" t="s">
        <v>49</v>
      </c>
      <c r="C74" s="3" t="s">
        <v>43</v>
      </c>
      <c r="D74" s="3" t="s">
        <v>32</v>
      </c>
      <c r="E74" s="3" t="s">
        <v>41</v>
      </c>
      <c r="F74" s="3" t="s">
        <v>26</v>
      </c>
      <c r="G74" s="4" t="n">
        <v>36</v>
      </c>
      <c r="H74" s="5" t="n">
        <v>392.53</v>
      </c>
      <c r="I74" s="5" t="n">
        <f aca="false">G74*H74</f>
        <v>14131.08</v>
      </c>
      <c r="J74" s="5" t="n">
        <f aca="false">I74*0.482</f>
        <v>6811.18056</v>
      </c>
      <c r="K74" s="5" t="n">
        <f aca="false">I74-J74</f>
        <v>7319.89944</v>
      </c>
      <c r="L74" s="6" t="n">
        <f aca="false">IF(I74=0,0,K74/I74)</f>
        <v>0.518</v>
      </c>
    </row>
    <row r="75" customFormat="false" ht="15" hidden="false" customHeight="false" outlineLevel="0" collapsed="false">
      <c r="A75" s="2" t="n">
        <v>45424</v>
      </c>
      <c r="B75" s="3" t="s">
        <v>45</v>
      </c>
      <c r="C75" s="3" t="s">
        <v>43</v>
      </c>
      <c r="D75" s="3" t="s">
        <v>18</v>
      </c>
      <c r="E75" s="3" t="s">
        <v>36</v>
      </c>
      <c r="F75" s="3" t="s">
        <v>16</v>
      </c>
      <c r="G75" s="4" t="n">
        <v>41</v>
      </c>
      <c r="H75" s="5" t="n">
        <v>83.05</v>
      </c>
      <c r="I75" s="5" t="n">
        <f aca="false">G75*H75</f>
        <v>3405.05</v>
      </c>
      <c r="J75" s="5" t="n">
        <f aca="false">I75*0.606</f>
        <v>2063.4603</v>
      </c>
      <c r="K75" s="5" t="n">
        <f aca="false">I75-J75</f>
        <v>1341.5897</v>
      </c>
      <c r="L75" s="6" t="n">
        <f aca="false">IF(I75=0,0,K75/I75)</f>
        <v>0.394</v>
      </c>
    </row>
    <row r="76" customFormat="false" ht="15" hidden="false" customHeight="false" outlineLevel="0" collapsed="false">
      <c r="A76" s="2" t="n">
        <v>45432</v>
      </c>
      <c r="B76" s="3" t="s">
        <v>45</v>
      </c>
      <c r="C76" s="3" t="s">
        <v>35</v>
      </c>
      <c r="D76" s="3" t="s">
        <v>34</v>
      </c>
      <c r="E76" s="3" t="s">
        <v>25</v>
      </c>
      <c r="F76" s="3" t="s">
        <v>26</v>
      </c>
      <c r="G76" s="4" t="n">
        <v>5</v>
      </c>
      <c r="H76" s="5" t="n">
        <v>477.76</v>
      </c>
      <c r="I76" s="5" t="n">
        <f aca="false">G76*H76</f>
        <v>2388.8</v>
      </c>
      <c r="J76" s="5" t="n">
        <f aca="false">I76*0.497</f>
        <v>1187.2336</v>
      </c>
      <c r="K76" s="5" t="n">
        <f aca="false">I76-J76</f>
        <v>1201.5664</v>
      </c>
      <c r="L76" s="6" t="n">
        <f aca="false">IF(I76=0,0,K76/I76)</f>
        <v>0.503</v>
      </c>
    </row>
    <row r="77" customFormat="false" ht="15" hidden="false" customHeight="false" outlineLevel="0" collapsed="false">
      <c r="A77" s="2" t="n">
        <v>45568</v>
      </c>
      <c r="B77" s="3" t="s">
        <v>33</v>
      </c>
      <c r="C77" s="3" t="s">
        <v>13</v>
      </c>
      <c r="D77" s="3" t="s">
        <v>18</v>
      </c>
      <c r="E77" s="3" t="s">
        <v>15</v>
      </c>
      <c r="F77" s="3" t="s">
        <v>16</v>
      </c>
      <c r="G77" s="4" t="n">
        <v>9</v>
      </c>
      <c r="H77" s="5" t="n">
        <v>25.96</v>
      </c>
      <c r="I77" s="5" t="n">
        <f aca="false">G77*H77</f>
        <v>233.64</v>
      </c>
      <c r="J77" s="5" t="n">
        <f aca="false">I77*0.527</f>
        <v>123.12828</v>
      </c>
      <c r="K77" s="5" t="n">
        <f aca="false">I77-J77</f>
        <v>110.51172</v>
      </c>
      <c r="L77" s="6" t="n">
        <f aca="false">IF(I77=0,0,K77/I77)</f>
        <v>0.473</v>
      </c>
    </row>
    <row r="78" customFormat="false" ht="15" hidden="false" customHeight="false" outlineLevel="0" collapsed="false">
      <c r="A78" s="2" t="n">
        <v>45324</v>
      </c>
      <c r="B78" s="3" t="s">
        <v>42</v>
      </c>
      <c r="C78" s="3" t="s">
        <v>28</v>
      </c>
      <c r="D78" s="3" t="s">
        <v>18</v>
      </c>
      <c r="E78" s="3" t="s">
        <v>41</v>
      </c>
      <c r="F78" s="3" t="s">
        <v>26</v>
      </c>
      <c r="G78" s="4" t="n">
        <v>27</v>
      </c>
      <c r="H78" s="5" t="n">
        <v>378.76</v>
      </c>
      <c r="I78" s="5" t="n">
        <f aca="false">G78*H78</f>
        <v>10226.52</v>
      </c>
      <c r="J78" s="5" t="n">
        <f aca="false">I78*0.543</f>
        <v>5553.00036</v>
      </c>
      <c r="K78" s="5" t="n">
        <f aca="false">I78-J78</f>
        <v>4673.51964</v>
      </c>
      <c r="L78" s="6" t="n">
        <f aca="false">IF(I78=0,0,K78/I78)</f>
        <v>0.457</v>
      </c>
    </row>
    <row r="79" customFormat="false" ht="15" hidden="false" customHeight="false" outlineLevel="0" collapsed="false">
      <c r="A79" s="2" t="n">
        <v>45507</v>
      </c>
      <c r="B79" s="3" t="s">
        <v>49</v>
      </c>
      <c r="C79" s="3" t="s">
        <v>20</v>
      </c>
      <c r="D79" s="3" t="s">
        <v>21</v>
      </c>
      <c r="E79" s="3" t="s">
        <v>41</v>
      </c>
      <c r="F79" s="3" t="s">
        <v>26</v>
      </c>
      <c r="G79" s="4" t="n">
        <v>50</v>
      </c>
      <c r="H79" s="5" t="n">
        <v>409.06</v>
      </c>
      <c r="I79" s="5" t="n">
        <f aca="false">G79*H79</f>
        <v>20453</v>
      </c>
      <c r="J79" s="5" t="n">
        <f aca="false">I79*0.589</f>
        <v>12046.817</v>
      </c>
      <c r="K79" s="5" t="n">
        <f aca="false">I79-J79</f>
        <v>8406.183</v>
      </c>
      <c r="L79" s="6" t="n">
        <f aca="false">IF(I79=0,0,K79/I79)</f>
        <v>0.411</v>
      </c>
    </row>
    <row r="80" customFormat="false" ht="15" hidden="false" customHeight="false" outlineLevel="0" collapsed="false">
      <c r="A80" s="2" t="n">
        <v>45536</v>
      </c>
      <c r="B80" s="3" t="s">
        <v>19</v>
      </c>
      <c r="C80" s="3" t="s">
        <v>43</v>
      </c>
      <c r="D80" s="3" t="s">
        <v>18</v>
      </c>
      <c r="E80" s="3" t="s">
        <v>22</v>
      </c>
      <c r="F80" s="3" t="s">
        <v>23</v>
      </c>
      <c r="G80" s="4" t="n">
        <v>23</v>
      </c>
      <c r="H80" s="5" t="n">
        <v>1220.52</v>
      </c>
      <c r="I80" s="5" t="n">
        <f aca="false">G80*H80</f>
        <v>28071.96</v>
      </c>
      <c r="J80" s="5" t="n">
        <f aca="false">I80*0.528</f>
        <v>14821.99488</v>
      </c>
      <c r="K80" s="5" t="n">
        <f aca="false">I80-J80</f>
        <v>13249.96512</v>
      </c>
      <c r="L80" s="6" t="n">
        <f aca="false">IF(I80=0,0,K80/I80)</f>
        <v>0.472</v>
      </c>
    </row>
    <row r="81" customFormat="false" ht="15" hidden="false" customHeight="false" outlineLevel="0" collapsed="false">
      <c r="A81" s="2" t="n">
        <v>45541</v>
      </c>
      <c r="B81" s="3" t="s">
        <v>19</v>
      </c>
      <c r="C81" s="3" t="s">
        <v>35</v>
      </c>
      <c r="D81" s="3" t="s">
        <v>21</v>
      </c>
      <c r="E81" s="3" t="s">
        <v>36</v>
      </c>
      <c r="F81" s="3" t="s">
        <v>16</v>
      </c>
      <c r="G81" s="4" t="n">
        <v>18</v>
      </c>
      <c r="H81" s="5" t="n">
        <v>87.29</v>
      </c>
      <c r="I81" s="5" t="n">
        <f aca="false">G81*H81</f>
        <v>1571.22</v>
      </c>
      <c r="J81" s="5" t="n">
        <f aca="false">I81*0.456</f>
        <v>716.47632</v>
      </c>
      <c r="K81" s="5" t="n">
        <f aca="false">I81-J81</f>
        <v>854.74368</v>
      </c>
      <c r="L81" s="6" t="n">
        <f aca="false">IF(I81=0,0,K81/I81)</f>
        <v>0.544</v>
      </c>
    </row>
    <row r="82" customFormat="false" ht="15" hidden="false" customHeight="false" outlineLevel="0" collapsed="false">
      <c r="A82" s="2" t="n">
        <v>45376</v>
      </c>
      <c r="B82" s="3" t="s">
        <v>40</v>
      </c>
      <c r="C82" s="3" t="s">
        <v>43</v>
      </c>
      <c r="D82" s="3" t="s">
        <v>44</v>
      </c>
      <c r="E82" s="3" t="s">
        <v>25</v>
      </c>
      <c r="F82" s="3" t="s">
        <v>26</v>
      </c>
      <c r="G82" s="4" t="n">
        <v>9</v>
      </c>
      <c r="H82" s="5" t="n">
        <v>513.75</v>
      </c>
      <c r="I82" s="5" t="n">
        <f aca="false">G82*H82</f>
        <v>4623.75</v>
      </c>
      <c r="J82" s="5" t="n">
        <f aca="false">I82*0.557</f>
        <v>2575.42875</v>
      </c>
      <c r="K82" s="5" t="n">
        <f aca="false">I82-J82</f>
        <v>2048.32125</v>
      </c>
      <c r="L82" s="6" t="n">
        <f aca="false">IF(I82=0,0,K82/I82)</f>
        <v>0.443</v>
      </c>
    </row>
    <row r="83" customFormat="false" ht="15" hidden="false" customHeight="false" outlineLevel="0" collapsed="false">
      <c r="A83" s="2" t="n">
        <v>45334</v>
      </c>
      <c r="B83" s="3" t="s">
        <v>42</v>
      </c>
      <c r="C83" s="3" t="s">
        <v>35</v>
      </c>
      <c r="D83" s="3" t="s">
        <v>21</v>
      </c>
      <c r="E83" s="3" t="s">
        <v>41</v>
      </c>
      <c r="F83" s="3" t="s">
        <v>26</v>
      </c>
      <c r="G83" s="4" t="n">
        <v>9</v>
      </c>
      <c r="H83" s="5" t="n">
        <v>442.91</v>
      </c>
      <c r="I83" s="5" t="n">
        <f aca="false">G83*H83</f>
        <v>3986.19</v>
      </c>
      <c r="J83" s="5" t="n">
        <f aca="false">I83*0.486</f>
        <v>1937.28834</v>
      </c>
      <c r="K83" s="5" t="n">
        <f aca="false">I83-J83</f>
        <v>2048.90166</v>
      </c>
      <c r="L83" s="6" t="n">
        <f aca="false">IF(I83=0,0,K83/I83)</f>
        <v>0.514</v>
      </c>
    </row>
    <row r="84" customFormat="false" ht="15" hidden="false" customHeight="false" outlineLevel="0" collapsed="false">
      <c r="A84" s="2" t="n">
        <v>45459</v>
      </c>
      <c r="B84" s="3" t="s">
        <v>27</v>
      </c>
      <c r="C84" s="3" t="s">
        <v>43</v>
      </c>
      <c r="D84" s="3" t="s">
        <v>39</v>
      </c>
      <c r="E84" s="3" t="s">
        <v>36</v>
      </c>
      <c r="F84" s="3" t="s">
        <v>16</v>
      </c>
      <c r="G84" s="4" t="n">
        <v>30</v>
      </c>
      <c r="H84" s="5" t="n">
        <v>84.38</v>
      </c>
      <c r="I84" s="5" t="n">
        <f aca="false">G84*H84</f>
        <v>2531.4</v>
      </c>
      <c r="J84" s="5" t="n">
        <f aca="false">I84*0.602</f>
        <v>1523.9028</v>
      </c>
      <c r="K84" s="5" t="n">
        <f aca="false">I84-J84</f>
        <v>1007.4972</v>
      </c>
      <c r="L84" s="6" t="n">
        <f aca="false">IF(I84=0,0,K84/I84)</f>
        <v>0.398</v>
      </c>
    </row>
    <row r="85" customFormat="false" ht="15" hidden="false" customHeight="false" outlineLevel="0" collapsed="false">
      <c r="A85" s="2" t="n">
        <v>45507</v>
      </c>
      <c r="B85" s="3" t="s">
        <v>49</v>
      </c>
      <c r="C85" s="3" t="s">
        <v>28</v>
      </c>
      <c r="D85" s="3" t="s">
        <v>34</v>
      </c>
      <c r="E85" s="3" t="s">
        <v>29</v>
      </c>
      <c r="F85" s="3" t="s">
        <v>30</v>
      </c>
      <c r="G85" s="4" t="n">
        <v>6</v>
      </c>
      <c r="H85" s="5" t="n">
        <v>44.6</v>
      </c>
      <c r="I85" s="5" t="n">
        <f aca="false">G85*H85</f>
        <v>267.6</v>
      </c>
      <c r="J85" s="5" t="n">
        <f aca="false">I85*0.6</f>
        <v>160.56</v>
      </c>
      <c r="K85" s="5" t="n">
        <f aca="false">I85-J85</f>
        <v>107.04</v>
      </c>
      <c r="L85" s="6" t="n">
        <f aca="false">IF(I85=0,0,K85/I85)</f>
        <v>0.4</v>
      </c>
    </row>
    <row r="86" customFormat="false" ht="15" hidden="false" customHeight="false" outlineLevel="0" collapsed="false">
      <c r="A86" s="2" t="n">
        <v>45406</v>
      </c>
      <c r="B86" s="3" t="s">
        <v>24</v>
      </c>
      <c r="C86" s="3" t="s">
        <v>28</v>
      </c>
      <c r="D86" s="3" t="s">
        <v>18</v>
      </c>
      <c r="E86" s="3" t="s">
        <v>15</v>
      </c>
      <c r="F86" s="3" t="s">
        <v>16</v>
      </c>
      <c r="G86" s="4" t="n">
        <v>50</v>
      </c>
      <c r="H86" s="5" t="n">
        <v>32.98</v>
      </c>
      <c r="I86" s="5" t="n">
        <f aca="false">G86*H86</f>
        <v>1649</v>
      </c>
      <c r="J86" s="5" t="n">
        <f aca="false">I86*0.458</f>
        <v>755.242</v>
      </c>
      <c r="K86" s="5" t="n">
        <f aca="false">I86-J86</f>
        <v>893.758</v>
      </c>
      <c r="L86" s="6" t="n">
        <f aca="false">IF(I86=0,0,K86/I86)</f>
        <v>0.542</v>
      </c>
    </row>
    <row r="87" customFormat="false" ht="15" hidden="false" customHeight="false" outlineLevel="0" collapsed="false">
      <c r="A87" s="2" t="n">
        <v>45394</v>
      </c>
      <c r="B87" s="3" t="s">
        <v>24</v>
      </c>
      <c r="C87" s="3" t="s">
        <v>28</v>
      </c>
      <c r="D87" s="3" t="s">
        <v>18</v>
      </c>
      <c r="E87" s="3" t="s">
        <v>22</v>
      </c>
      <c r="F87" s="3" t="s">
        <v>23</v>
      </c>
      <c r="G87" s="4" t="n">
        <v>40</v>
      </c>
      <c r="H87" s="5" t="n">
        <v>1163.53</v>
      </c>
      <c r="I87" s="5" t="n">
        <f aca="false">G87*H87</f>
        <v>46541.2</v>
      </c>
      <c r="J87" s="5" t="n">
        <f aca="false">I87*0.475</f>
        <v>22107.07</v>
      </c>
      <c r="K87" s="5" t="n">
        <f aca="false">I87-J87</f>
        <v>24434.13</v>
      </c>
      <c r="L87" s="6" t="n">
        <f aca="false">IF(I87=0,0,K87/I87)</f>
        <v>0.525</v>
      </c>
    </row>
    <row r="88" customFormat="false" ht="15" hidden="false" customHeight="false" outlineLevel="0" collapsed="false">
      <c r="A88" s="2" t="n">
        <v>45530</v>
      </c>
      <c r="B88" s="3" t="s">
        <v>49</v>
      </c>
      <c r="C88" s="3" t="s">
        <v>28</v>
      </c>
      <c r="D88" s="3" t="s">
        <v>37</v>
      </c>
      <c r="E88" s="3" t="s">
        <v>29</v>
      </c>
      <c r="F88" s="3" t="s">
        <v>30</v>
      </c>
      <c r="G88" s="4" t="n">
        <v>50</v>
      </c>
      <c r="H88" s="5" t="n">
        <v>43.23</v>
      </c>
      <c r="I88" s="5" t="n">
        <f aca="false">G88*H88</f>
        <v>2161.5</v>
      </c>
      <c r="J88" s="5" t="n">
        <f aca="false">I88*0.571</f>
        <v>1234.2165</v>
      </c>
      <c r="K88" s="5" t="n">
        <f aca="false">I88-J88</f>
        <v>927.2835</v>
      </c>
      <c r="L88" s="6" t="n">
        <f aca="false">IF(I88=0,0,K88/I88)</f>
        <v>0.429</v>
      </c>
    </row>
    <row r="89" customFormat="false" ht="15" hidden="false" customHeight="false" outlineLevel="0" collapsed="false">
      <c r="A89" s="2" t="n">
        <v>45451</v>
      </c>
      <c r="B89" s="3" t="s">
        <v>27</v>
      </c>
      <c r="C89" s="3" t="s">
        <v>43</v>
      </c>
      <c r="D89" s="3" t="s">
        <v>21</v>
      </c>
      <c r="E89" s="3" t="s">
        <v>15</v>
      </c>
      <c r="F89" s="3" t="s">
        <v>16</v>
      </c>
      <c r="G89" s="4" t="n">
        <v>38</v>
      </c>
      <c r="H89" s="5" t="n">
        <v>24.87</v>
      </c>
      <c r="I89" s="5" t="n">
        <f aca="false">G89*H89</f>
        <v>945.06</v>
      </c>
      <c r="J89" s="5" t="n">
        <f aca="false">I89*0.512</f>
        <v>483.87072</v>
      </c>
      <c r="K89" s="5" t="n">
        <f aca="false">I89-J89</f>
        <v>461.18928</v>
      </c>
      <c r="L89" s="6" t="n">
        <f aca="false">IF(I89=0,0,K89/I89)</f>
        <v>0.488</v>
      </c>
    </row>
    <row r="90" customFormat="false" ht="15" hidden="false" customHeight="false" outlineLevel="0" collapsed="false">
      <c r="A90" s="2" t="n">
        <v>45393</v>
      </c>
      <c r="B90" s="3" t="s">
        <v>24</v>
      </c>
      <c r="C90" s="3" t="s">
        <v>28</v>
      </c>
      <c r="D90" s="3" t="s">
        <v>39</v>
      </c>
      <c r="E90" s="3" t="s">
        <v>15</v>
      </c>
      <c r="F90" s="3" t="s">
        <v>16</v>
      </c>
      <c r="G90" s="4" t="n">
        <v>38</v>
      </c>
      <c r="H90" s="5" t="n">
        <v>30.66</v>
      </c>
      <c r="I90" s="5" t="n">
        <f aca="false">G90*H90</f>
        <v>1165.08</v>
      </c>
      <c r="J90" s="5" t="n">
        <f aca="false">I90*0.575</f>
        <v>669.921</v>
      </c>
      <c r="K90" s="5" t="n">
        <f aca="false">I90-J90</f>
        <v>495.159</v>
      </c>
      <c r="L90" s="6" t="n">
        <f aca="false">IF(I90=0,0,K90/I90)</f>
        <v>0.425</v>
      </c>
    </row>
    <row r="91" customFormat="false" ht="15" hidden="false" customHeight="false" outlineLevel="0" collapsed="false">
      <c r="A91" s="2" t="n">
        <v>45642</v>
      </c>
      <c r="B91" s="3" t="s">
        <v>17</v>
      </c>
      <c r="C91" s="3" t="s">
        <v>43</v>
      </c>
      <c r="D91" s="3" t="s">
        <v>34</v>
      </c>
      <c r="E91" s="3" t="s">
        <v>15</v>
      </c>
      <c r="F91" s="3" t="s">
        <v>16</v>
      </c>
      <c r="G91" s="4" t="n">
        <v>37</v>
      </c>
      <c r="H91" s="5" t="n">
        <v>31.46</v>
      </c>
      <c r="I91" s="5" t="n">
        <f aca="false">G91*H91</f>
        <v>1164.02</v>
      </c>
      <c r="J91" s="5" t="n">
        <f aca="false">I91*0.519</f>
        <v>604.12638</v>
      </c>
      <c r="K91" s="5" t="n">
        <f aca="false">I91-J91</f>
        <v>559.89362</v>
      </c>
      <c r="L91" s="6" t="n">
        <f aca="false">IF(I91=0,0,K91/I91)</f>
        <v>0.481</v>
      </c>
    </row>
    <row r="92" customFormat="false" ht="15" hidden="false" customHeight="false" outlineLevel="0" collapsed="false">
      <c r="A92" s="2" t="n">
        <v>45327</v>
      </c>
      <c r="B92" s="3" t="s">
        <v>42</v>
      </c>
      <c r="C92" s="3" t="s">
        <v>28</v>
      </c>
      <c r="D92" s="3" t="s">
        <v>21</v>
      </c>
      <c r="E92" s="3" t="s">
        <v>38</v>
      </c>
      <c r="F92" s="3" t="s">
        <v>30</v>
      </c>
      <c r="G92" s="4" t="n">
        <v>1</v>
      </c>
      <c r="H92" s="5" t="n">
        <v>142.53</v>
      </c>
      <c r="I92" s="5" t="n">
        <f aca="false">G92*H92</f>
        <v>142.53</v>
      </c>
      <c r="J92" s="5" t="n">
        <f aca="false">I92*0.614</f>
        <v>87.51342</v>
      </c>
      <c r="K92" s="5" t="n">
        <f aca="false">I92-J92</f>
        <v>55.01658</v>
      </c>
      <c r="L92" s="6" t="n">
        <f aca="false">IF(I92=0,0,K92/I92)</f>
        <v>0.386</v>
      </c>
    </row>
    <row r="93" customFormat="false" ht="15" hidden="false" customHeight="false" outlineLevel="0" collapsed="false">
      <c r="A93" s="2" t="n">
        <v>45477</v>
      </c>
      <c r="B93" s="3" t="s">
        <v>31</v>
      </c>
      <c r="C93" s="3" t="s">
        <v>20</v>
      </c>
      <c r="D93" s="3" t="s">
        <v>39</v>
      </c>
      <c r="E93" s="3" t="s">
        <v>25</v>
      </c>
      <c r="F93" s="3" t="s">
        <v>26</v>
      </c>
      <c r="G93" s="4" t="n">
        <v>46</v>
      </c>
      <c r="H93" s="5" t="n">
        <v>402.26</v>
      </c>
      <c r="I93" s="5" t="n">
        <f aca="false">G93*H93</f>
        <v>18503.96</v>
      </c>
      <c r="J93" s="5" t="n">
        <f aca="false">I93*0.485</f>
        <v>8974.4206</v>
      </c>
      <c r="K93" s="5" t="n">
        <f aca="false">I93-J93</f>
        <v>9529.5394</v>
      </c>
      <c r="L93" s="6" t="n">
        <f aca="false">IF(I93=0,0,K93/I93)</f>
        <v>0.515</v>
      </c>
    </row>
    <row r="94" customFormat="false" ht="15" hidden="false" customHeight="false" outlineLevel="0" collapsed="false">
      <c r="A94" s="2" t="n">
        <v>45607</v>
      </c>
      <c r="B94" s="3" t="s">
        <v>12</v>
      </c>
      <c r="C94" s="3" t="s">
        <v>35</v>
      </c>
      <c r="D94" s="3" t="s">
        <v>34</v>
      </c>
      <c r="E94" s="3" t="s">
        <v>25</v>
      </c>
      <c r="F94" s="3" t="s">
        <v>26</v>
      </c>
      <c r="G94" s="4" t="n">
        <v>30</v>
      </c>
      <c r="H94" s="5" t="n">
        <v>440.32</v>
      </c>
      <c r="I94" s="5" t="n">
        <f aca="false">G94*H94</f>
        <v>13209.6</v>
      </c>
      <c r="J94" s="5" t="n">
        <f aca="false">I94*0.596</f>
        <v>7872.9216</v>
      </c>
      <c r="K94" s="5" t="n">
        <f aca="false">I94-J94</f>
        <v>5336.6784</v>
      </c>
      <c r="L94" s="6" t="n">
        <f aca="false">IF(I94=0,0,K94/I94)</f>
        <v>0.404</v>
      </c>
    </row>
    <row r="95" customFormat="false" ht="15" hidden="false" customHeight="false" outlineLevel="0" collapsed="false">
      <c r="A95" s="2" t="n">
        <v>45417</v>
      </c>
      <c r="B95" s="3" t="s">
        <v>45</v>
      </c>
      <c r="C95" s="3" t="s">
        <v>43</v>
      </c>
      <c r="D95" s="3" t="s">
        <v>21</v>
      </c>
      <c r="E95" s="3" t="s">
        <v>15</v>
      </c>
      <c r="F95" s="3" t="s">
        <v>16</v>
      </c>
      <c r="G95" s="4" t="n">
        <v>18</v>
      </c>
      <c r="H95" s="5" t="n">
        <v>32.32</v>
      </c>
      <c r="I95" s="5" t="n">
        <f aca="false">G95*H95</f>
        <v>581.76</v>
      </c>
      <c r="J95" s="5" t="n">
        <f aca="false">I95*0.499</f>
        <v>290.29824</v>
      </c>
      <c r="K95" s="5" t="n">
        <f aca="false">I95-J95</f>
        <v>291.46176</v>
      </c>
      <c r="L95" s="6" t="n">
        <f aca="false">IF(I95=0,0,K95/I95)</f>
        <v>0.501</v>
      </c>
    </row>
    <row r="96" customFormat="false" ht="15" hidden="false" customHeight="false" outlineLevel="0" collapsed="false">
      <c r="A96" s="2" t="n">
        <v>45464</v>
      </c>
      <c r="B96" s="3" t="s">
        <v>27</v>
      </c>
      <c r="C96" s="3" t="s">
        <v>13</v>
      </c>
      <c r="D96" s="3" t="s">
        <v>34</v>
      </c>
      <c r="E96" s="3" t="s">
        <v>22</v>
      </c>
      <c r="F96" s="3" t="s">
        <v>23</v>
      </c>
      <c r="G96" s="4" t="n">
        <v>32</v>
      </c>
      <c r="H96" s="5" t="n">
        <v>1435.77</v>
      </c>
      <c r="I96" s="5" t="n">
        <f aca="false">G96*H96</f>
        <v>45944.64</v>
      </c>
      <c r="J96" s="5" t="n">
        <f aca="false">I96*0.486</f>
        <v>22329.09504</v>
      </c>
      <c r="K96" s="5" t="n">
        <f aca="false">I96-J96</f>
        <v>23615.54496</v>
      </c>
      <c r="L96" s="6" t="n">
        <f aca="false">IF(I96=0,0,K96/I96)</f>
        <v>0.514</v>
      </c>
    </row>
    <row r="97" customFormat="false" ht="15" hidden="false" customHeight="false" outlineLevel="0" collapsed="false">
      <c r="A97" s="2" t="n">
        <v>45424</v>
      </c>
      <c r="B97" s="3" t="s">
        <v>45</v>
      </c>
      <c r="C97" s="3" t="s">
        <v>35</v>
      </c>
      <c r="D97" s="3" t="s">
        <v>44</v>
      </c>
      <c r="E97" s="3" t="s">
        <v>38</v>
      </c>
      <c r="F97" s="3" t="s">
        <v>30</v>
      </c>
      <c r="G97" s="4" t="n">
        <v>18</v>
      </c>
      <c r="H97" s="5" t="n">
        <v>143.72</v>
      </c>
      <c r="I97" s="5" t="n">
        <f aca="false">G97*H97</f>
        <v>2586.96</v>
      </c>
      <c r="J97" s="5" t="n">
        <f aca="false">I97*0.59</f>
        <v>1526.3064</v>
      </c>
      <c r="K97" s="5" t="n">
        <f aca="false">I97-J97</f>
        <v>1060.6536</v>
      </c>
      <c r="L97" s="6" t="n">
        <f aca="false">IF(I97=0,0,K97/I97)</f>
        <v>0.41</v>
      </c>
    </row>
    <row r="98" customFormat="false" ht="15" hidden="false" customHeight="false" outlineLevel="0" collapsed="false">
      <c r="A98" s="2" t="n">
        <v>45556</v>
      </c>
      <c r="B98" s="3" t="s">
        <v>19</v>
      </c>
      <c r="C98" s="3" t="s">
        <v>20</v>
      </c>
      <c r="D98" s="3" t="s">
        <v>18</v>
      </c>
      <c r="E98" s="3" t="s">
        <v>36</v>
      </c>
      <c r="F98" s="3" t="s">
        <v>16</v>
      </c>
      <c r="G98" s="4" t="n">
        <v>6</v>
      </c>
      <c r="H98" s="5" t="n">
        <v>82.09</v>
      </c>
      <c r="I98" s="5" t="n">
        <f aca="false">G98*H98</f>
        <v>492.54</v>
      </c>
      <c r="J98" s="5" t="n">
        <f aca="false">I98*0.531</f>
        <v>261.53874</v>
      </c>
      <c r="K98" s="5" t="n">
        <f aca="false">I98-J98</f>
        <v>231.00126</v>
      </c>
      <c r="L98" s="6" t="n">
        <f aca="false">IF(I98=0,0,K98/I98)</f>
        <v>0.469</v>
      </c>
    </row>
    <row r="99" customFormat="false" ht="15" hidden="false" customHeight="false" outlineLevel="0" collapsed="false">
      <c r="A99" s="2" t="n">
        <v>45645</v>
      </c>
      <c r="B99" s="3" t="s">
        <v>17</v>
      </c>
      <c r="C99" s="3" t="s">
        <v>28</v>
      </c>
      <c r="D99" s="3" t="s">
        <v>14</v>
      </c>
      <c r="E99" s="3" t="s">
        <v>25</v>
      </c>
      <c r="F99" s="3" t="s">
        <v>26</v>
      </c>
      <c r="G99" s="4" t="n">
        <v>42</v>
      </c>
      <c r="H99" s="5" t="n">
        <v>477.54</v>
      </c>
      <c r="I99" s="5" t="n">
        <f aca="false">G99*H99</f>
        <v>20056.68</v>
      </c>
      <c r="J99" s="5" t="n">
        <f aca="false">I99*0.54</f>
        <v>10830.6072</v>
      </c>
      <c r="K99" s="5" t="n">
        <f aca="false">I99-J99</f>
        <v>9226.0728</v>
      </c>
      <c r="L99" s="6" t="n">
        <f aca="false">IF(I99=0,0,K99/I99)</f>
        <v>0.46</v>
      </c>
    </row>
    <row r="100" customFormat="false" ht="15" hidden="false" customHeight="false" outlineLevel="0" collapsed="false">
      <c r="A100" s="2" t="n">
        <v>45442</v>
      </c>
      <c r="B100" s="3" t="s">
        <v>45</v>
      </c>
      <c r="C100" s="3" t="s">
        <v>20</v>
      </c>
      <c r="D100" s="3" t="s">
        <v>34</v>
      </c>
      <c r="E100" s="3" t="s">
        <v>36</v>
      </c>
      <c r="F100" s="3" t="s">
        <v>16</v>
      </c>
      <c r="G100" s="4" t="n">
        <v>26</v>
      </c>
      <c r="H100" s="5" t="n">
        <v>94.12</v>
      </c>
      <c r="I100" s="5" t="n">
        <f aca="false">G100*H100</f>
        <v>2447.12</v>
      </c>
      <c r="J100" s="5" t="n">
        <f aca="false">I100*0.511</f>
        <v>1250.47832</v>
      </c>
      <c r="K100" s="5" t="n">
        <f aca="false">I100-J100</f>
        <v>1196.64168</v>
      </c>
      <c r="L100" s="6" t="n">
        <f aca="false">IF(I100=0,0,K100/I100)</f>
        <v>0.489</v>
      </c>
    </row>
    <row r="101" customFormat="false" ht="15" hidden="false" customHeight="false" outlineLevel="0" collapsed="false">
      <c r="A101" s="2" t="n">
        <v>45534</v>
      </c>
      <c r="B101" s="3" t="s">
        <v>49</v>
      </c>
      <c r="C101" s="3" t="s">
        <v>35</v>
      </c>
      <c r="D101" s="3" t="s">
        <v>32</v>
      </c>
      <c r="E101" s="3" t="s">
        <v>38</v>
      </c>
      <c r="F101" s="3" t="s">
        <v>30</v>
      </c>
      <c r="G101" s="4" t="n">
        <v>28</v>
      </c>
      <c r="H101" s="5" t="n">
        <v>148.22</v>
      </c>
      <c r="I101" s="5" t="n">
        <f aca="false">G101*H101</f>
        <v>4150.16</v>
      </c>
      <c r="J101" s="5" t="n">
        <f aca="false">I101*0.56</f>
        <v>2324.0896</v>
      </c>
      <c r="K101" s="5" t="n">
        <f aca="false">I101-J101</f>
        <v>1826.0704</v>
      </c>
      <c r="L101" s="6" t="n">
        <f aca="false">IF(I101=0,0,K101/I101)</f>
        <v>0.44</v>
      </c>
    </row>
    <row r="102" customFormat="false" ht="15" hidden="false" customHeight="false" outlineLevel="0" collapsed="false">
      <c r="A102" s="2" t="n">
        <v>45430</v>
      </c>
      <c r="B102" s="3" t="s">
        <v>45</v>
      </c>
      <c r="C102" s="3" t="s">
        <v>35</v>
      </c>
      <c r="D102" s="3" t="s">
        <v>14</v>
      </c>
      <c r="E102" s="3" t="s">
        <v>29</v>
      </c>
      <c r="F102" s="3" t="s">
        <v>30</v>
      </c>
      <c r="G102" s="4" t="n">
        <v>17</v>
      </c>
      <c r="H102" s="5" t="n">
        <v>41.36</v>
      </c>
      <c r="I102" s="5" t="n">
        <f aca="false">G102*H102</f>
        <v>703.12</v>
      </c>
      <c r="J102" s="5" t="n">
        <f aca="false">I102*0.594</f>
        <v>417.65328</v>
      </c>
      <c r="K102" s="5" t="n">
        <f aca="false">I102-J102</f>
        <v>285.46672</v>
      </c>
      <c r="L102" s="6" t="n">
        <f aca="false">IF(I102=0,0,K102/I102)</f>
        <v>0.406</v>
      </c>
    </row>
    <row r="103" customFormat="false" ht="15" hidden="false" customHeight="false" outlineLevel="0" collapsed="false">
      <c r="A103" s="2" t="n">
        <v>45566</v>
      </c>
      <c r="B103" s="3" t="s">
        <v>33</v>
      </c>
      <c r="C103" s="3" t="s">
        <v>20</v>
      </c>
      <c r="D103" s="3" t="s">
        <v>39</v>
      </c>
      <c r="E103" s="3" t="s">
        <v>47</v>
      </c>
      <c r="F103" s="3" t="s">
        <v>48</v>
      </c>
      <c r="G103" s="4" t="n">
        <v>13</v>
      </c>
      <c r="H103" s="5" t="n">
        <v>548.03</v>
      </c>
      <c r="I103" s="5" t="n">
        <f aca="false">G103*H103</f>
        <v>7124.39</v>
      </c>
      <c r="J103" s="5" t="n">
        <f aca="false">I103*0.547</f>
        <v>3897.04133</v>
      </c>
      <c r="K103" s="5" t="n">
        <f aca="false">I103-J103</f>
        <v>3227.34867</v>
      </c>
      <c r="L103" s="6" t="n">
        <f aca="false">IF(I103=0,0,K103/I103)</f>
        <v>0.453</v>
      </c>
    </row>
    <row r="104" customFormat="false" ht="15" hidden="false" customHeight="false" outlineLevel="0" collapsed="false">
      <c r="A104" s="2" t="n">
        <v>45343</v>
      </c>
      <c r="B104" s="3" t="s">
        <v>42</v>
      </c>
      <c r="C104" s="3" t="s">
        <v>28</v>
      </c>
      <c r="D104" s="3" t="s">
        <v>37</v>
      </c>
      <c r="E104" s="3" t="s">
        <v>36</v>
      </c>
      <c r="F104" s="3" t="s">
        <v>16</v>
      </c>
      <c r="G104" s="4" t="n">
        <v>19</v>
      </c>
      <c r="H104" s="5" t="n">
        <v>81.72</v>
      </c>
      <c r="I104" s="5" t="n">
        <f aca="false">G104*H104</f>
        <v>1552.68</v>
      </c>
      <c r="J104" s="5" t="n">
        <f aca="false">I104*0.486</f>
        <v>754.60248</v>
      </c>
      <c r="K104" s="5" t="n">
        <f aca="false">I104-J104</f>
        <v>798.07752</v>
      </c>
      <c r="L104" s="6" t="n">
        <f aca="false">IF(I104=0,0,K104/I104)</f>
        <v>0.514</v>
      </c>
    </row>
    <row r="105" customFormat="false" ht="15" hidden="false" customHeight="false" outlineLevel="0" collapsed="false">
      <c r="A105" s="2" t="n">
        <v>45432</v>
      </c>
      <c r="B105" s="3" t="s">
        <v>45</v>
      </c>
      <c r="C105" s="3" t="s">
        <v>13</v>
      </c>
      <c r="D105" s="3" t="s">
        <v>32</v>
      </c>
      <c r="E105" s="3" t="s">
        <v>22</v>
      </c>
      <c r="F105" s="3" t="s">
        <v>23</v>
      </c>
      <c r="G105" s="4" t="n">
        <v>4</v>
      </c>
      <c r="H105" s="5" t="n">
        <v>1319.79</v>
      </c>
      <c r="I105" s="5" t="n">
        <f aca="false">G105*H105</f>
        <v>5279.16</v>
      </c>
      <c r="J105" s="5" t="n">
        <f aca="false">I105*0.589</f>
        <v>3109.42524</v>
      </c>
      <c r="K105" s="5" t="n">
        <f aca="false">I105-J105</f>
        <v>2169.73476</v>
      </c>
      <c r="L105" s="6" t="n">
        <f aca="false">IF(I105=0,0,K105/I105)</f>
        <v>0.411</v>
      </c>
    </row>
    <row r="106" customFormat="false" ht="15" hidden="false" customHeight="false" outlineLevel="0" collapsed="false">
      <c r="A106" s="2" t="n">
        <v>45344</v>
      </c>
      <c r="B106" s="3" t="s">
        <v>42</v>
      </c>
      <c r="C106" s="3" t="s">
        <v>35</v>
      </c>
      <c r="D106" s="3" t="s">
        <v>37</v>
      </c>
      <c r="E106" s="3" t="s">
        <v>22</v>
      </c>
      <c r="F106" s="3" t="s">
        <v>23</v>
      </c>
      <c r="G106" s="4" t="n">
        <v>37</v>
      </c>
      <c r="H106" s="5" t="n">
        <v>1214.96</v>
      </c>
      <c r="I106" s="5" t="n">
        <f aca="false">G106*H106</f>
        <v>44953.52</v>
      </c>
      <c r="J106" s="5" t="n">
        <f aca="false">I106*0.546</f>
        <v>24544.62192</v>
      </c>
      <c r="K106" s="5" t="n">
        <f aca="false">I106-J106</f>
        <v>20408.89808</v>
      </c>
      <c r="L106" s="6" t="n">
        <f aca="false">IF(I106=0,0,K106/I106)</f>
        <v>0.454</v>
      </c>
    </row>
    <row r="107" customFormat="false" ht="15" hidden="false" customHeight="false" outlineLevel="0" collapsed="false">
      <c r="A107" s="2" t="n">
        <v>45318</v>
      </c>
      <c r="B107" s="3" t="s">
        <v>46</v>
      </c>
      <c r="C107" s="3" t="s">
        <v>43</v>
      </c>
      <c r="D107" s="3" t="s">
        <v>14</v>
      </c>
      <c r="E107" s="3" t="s">
        <v>29</v>
      </c>
      <c r="F107" s="3" t="s">
        <v>30</v>
      </c>
      <c r="G107" s="4" t="n">
        <v>31</v>
      </c>
      <c r="H107" s="5" t="n">
        <v>39.79</v>
      </c>
      <c r="I107" s="5" t="n">
        <f aca="false">G107*H107</f>
        <v>1233.49</v>
      </c>
      <c r="J107" s="5" t="n">
        <f aca="false">I107*0.463</f>
        <v>571.10587</v>
      </c>
      <c r="K107" s="5" t="n">
        <f aca="false">I107-J107</f>
        <v>662.38413</v>
      </c>
      <c r="L107" s="6" t="n">
        <f aca="false">IF(I107=0,0,K107/I107)</f>
        <v>0.537</v>
      </c>
    </row>
    <row r="108" customFormat="false" ht="15" hidden="false" customHeight="false" outlineLevel="0" collapsed="false">
      <c r="A108" s="2" t="n">
        <v>45587</v>
      </c>
      <c r="B108" s="3" t="s">
        <v>33</v>
      </c>
      <c r="C108" s="3" t="s">
        <v>35</v>
      </c>
      <c r="D108" s="3" t="s">
        <v>14</v>
      </c>
      <c r="E108" s="3" t="s">
        <v>22</v>
      </c>
      <c r="F108" s="3" t="s">
        <v>23</v>
      </c>
      <c r="G108" s="4" t="n">
        <v>10</v>
      </c>
      <c r="H108" s="5" t="n">
        <v>1162.29</v>
      </c>
      <c r="I108" s="5" t="n">
        <f aca="false">G108*H108</f>
        <v>11622.9</v>
      </c>
      <c r="J108" s="5" t="n">
        <f aca="false">I108*0.563</f>
        <v>6543.6927</v>
      </c>
      <c r="K108" s="5" t="n">
        <f aca="false">I108-J108</f>
        <v>5079.2073</v>
      </c>
      <c r="L108" s="6" t="n">
        <f aca="false">IF(I108=0,0,K108/I108)</f>
        <v>0.437</v>
      </c>
    </row>
    <row r="109" customFormat="false" ht="15" hidden="false" customHeight="false" outlineLevel="0" collapsed="false">
      <c r="A109" s="2" t="n">
        <v>45419</v>
      </c>
      <c r="B109" s="3" t="s">
        <v>45</v>
      </c>
      <c r="C109" s="3" t="s">
        <v>20</v>
      </c>
      <c r="D109" s="3" t="s">
        <v>18</v>
      </c>
      <c r="E109" s="3" t="s">
        <v>15</v>
      </c>
      <c r="F109" s="3" t="s">
        <v>16</v>
      </c>
      <c r="G109" s="4" t="n">
        <v>36</v>
      </c>
      <c r="H109" s="5" t="n">
        <v>31.3</v>
      </c>
      <c r="I109" s="5" t="n">
        <f aca="false">G109*H109</f>
        <v>1126.8</v>
      </c>
      <c r="J109" s="5" t="n">
        <f aca="false">I109*0.571</f>
        <v>643.4028</v>
      </c>
      <c r="K109" s="5" t="n">
        <f aca="false">I109-J109</f>
        <v>483.3972</v>
      </c>
      <c r="L109" s="6" t="n">
        <f aca="false">IF(I109=0,0,K109/I109)</f>
        <v>0.429</v>
      </c>
    </row>
    <row r="110" customFormat="false" ht="15" hidden="false" customHeight="false" outlineLevel="0" collapsed="false">
      <c r="A110" s="2" t="n">
        <v>45559</v>
      </c>
      <c r="B110" s="3" t="s">
        <v>19</v>
      </c>
      <c r="C110" s="3" t="s">
        <v>20</v>
      </c>
      <c r="D110" s="3" t="s">
        <v>21</v>
      </c>
      <c r="E110" s="3" t="s">
        <v>41</v>
      </c>
      <c r="F110" s="3" t="s">
        <v>26</v>
      </c>
      <c r="G110" s="4" t="n">
        <v>29</v>
      </c>
      <c r="H110" s="5" t="n">
        <v>447.9</v>
      </c>
      <c r="I110" s="5" t="n">
        <f aca="false">G110*H110</f>
        <v>12989.1</v>
      </c>
      <c r="J110" s="5" t="n">
        <f aca="false">I110*0.509</f>
        <v>6611.4519</v>
      </c>
      <c r="K110" s="5" t="n">
        <f aca="false">I110-J110</f>
        <v>6377.6481</v>
      </c>
      <c r="L110" s="6" t="n">
        <f aca="false">IF(I110=0,0,K110/I110)</f>
        <v>0.491</v>
      </c>
    </row>
    <row r="111" customFormat="false" ht="15" hidden="false" customHeight="false" outlineLevel="0" collapsed="false">
      <c r="A111" s="2" t="n">
        <v>45448</v>
      </c>
      <c r="B111" s="3" t="s">
        <v>27</v>
      </c>
      <c r="C111" s="3" t="s">
        <v>13</v>
      </c>
      <c r="D111" s="3" t="s">
        <v>18</v>
      </c>
      <c r="E111" s="3" t="s">
        <v>22</v>
      </c>
      <c r="F111" s="3" t="s">
        <v>23</v>
      </c>
      <c r="G111" s="4" t="n">
        <v>40</v>
      </c>
      <c r="H111" s="5" t="n">
        <v>1478.3</v>
      </c>
      <c r="I111" s="5" t="n">
        <f aca="false">G111*H111</f>
        <v>59132</v>
      </c>
      <c r="J111" s="5" t="n">
        <f aca="false">I111*0.47</f>
        <v>27792.04</v>
      </c>
      <c r="K111" s="5" t="n">
        <f aca="false">I111-J111</f>
        <v>31339.96</v>
      </c>
      <c r="L111" s="6" t="n">
        <f aca="false">IF(I111=0,0,K111/I111)</f>
        <v>0.53</v>
      </c>
    </row>
    <row r="112" customFormat="false" ht="15" hidden="false" customHeight="false" outlineLevel="0" collapsed="false">
      <c r="A112" s="2" t="n">
        <v>45427</v>
      </c>
      <c r="B112" s="3" t="s">
        <v>45</v>
      </c>
      <c r="C112" s="3" t="s">
        <v>13</v>
      </c>
      <c r="D112" s="3" t="s">
        <v>44</v>
      </c>
      <c r="E112" s="3" t="s">
        <v>15</v>
      </c>
      <c r="F112" s="3" t="s">
        <v>16</v>
      </c>
      <c r="G112" s="4" t="n">
        <v>11</v>
      </c>
      <c r="H112" s="5" t="n">
        <v>26.74</v>
      </c>
      <c r="I112" s="5" t="n">
        <f aca="false">G112*H112</f>
        <v>294.14</v>
      </c>
      <c r="J112" s="5" t="n">
        <f aca="false">I112*0.56</f>
        <v>164.7184</v>
      </c>
      <c r="K112" s="5" t="n">
        <f aca="false">I112-J112</f>
        <v>129.4216</v>
      </c>
      <c r="L112" s="6" t="n">
        <f aca="false">IF(I112=0,0,K112/I112)</f>
        <v>0.44</v>
      </c>
    </row>
    <row r="113" customFormat="false" ht="15" hidden="false" customHeight="false" outlineLevel="0" collapsed="false">
      <c r="A113" s="2" t="n">
        <v>45501</v>
      </c>
      <c r="B113" s="3" t="s">
        <v>31</v>
      </c>
      <c r="C113" s="3" t="s">
        <v>13</v>
      </c>
      <c r="D113" s="3" t="s">
        <v>39</v>
      </c>
      <c r="E113" s="3" t="s">
        <v>25</v>
      </c>
      <c r="F113" s="3" t="s">
        <v>26</v>
      </c>
      <c r="G113" s="4" t="n">
        <v>45</v>
      </c>
      <c r="H113" s="5" t="n">
        <v>461.64</v>
      </c>
      <c r="I113" s="5" t="n">
        <f aca="false">G113*H113</f>
        <v>20773.8</v>
      </c>
      <c r="J113" s="5" t="n">
        <f aca="false">I113*0.508</f>
        <v>10553.0904</v>
      </c>
      <c r="K113" s="5" t="n">
        <f aca="false">I113-J113</f>
        <v>10220.7096</v>
      </c>
      <c r="L113" s="6" t="n">
        <f aca="false">IF(I113=0,0,K113/I113)</f>
        <v>0.492</v>
      </c>
    </row>
    <row r="114" customFormat="false" ht="15" hidden="false" customHeight="false" outlineLevel="0" collapsed="false">
      <c r="A114" s="2" t="n">
        <v>45653</v>
      </c>
      <c r="B114" s="3" t="s">
        <v>17</v>
      </c>
      <c r="C114" s="3" t="s">
        <v>13</v>
      </c>
      <c r="D114" s="3" t="s">
        <v>39</v>
      </c>
      <c r="E114" s="3" t="s">
        <v>29</v>
      </c>
      <c r="F114" s="3" t="s">
        <v>30</v>
      </c>
      <c r="G114" s="4" t="n">
        <v>45</v>
      </c>
      <c r="H114" s="5" t="n">
        <v>49.85</v>
      </c>
      <c r="I114" s="5" t="n">
        <f aca="false">G114*H114</f>
        <v>2243.25</v>
      </c>
      <c r="J114" s="5" t="n">
        <f aca="false">I114*0.464</f>
        <v>1040.868</v>
      </c>
      <c r="K114" s="5" t="n">
        <f aca="false">I114-J114</f>
        <v>1202.382</v>
      </c>
      <c r="L114" s="6" t="n">
        <f aca="false">IF(I114=0,0,K114/I114)</f>
        <v>0.536</v>
      </c>
    </row>
    <row r="115" customFormat="false" ht="15" hidden="false" customHeight="false" outlineLevel="0" collapsed="false">
      <c r="A115" s="2" t="n">
        <v>45612</v>
      </c>
      <c r="B115" s="3" t="s">
        <v>12</v>
      </c>
      <c r="C115" s="3" t="s">
        <v>13</v>
      </c>
      <c r="D115" s="3" t="s">
        <v>39</v>
      </c>
      <c r="E115" s="3" t="s">
        <v>36</v>
      </c>
      <c r="F115" s="3" t="s">
        <v>16</v>
      </c>
      <c r="G115" s="4" t="n">
        <v>28</v>
      </c>
      <c r="H115" s="5" t="n">
        <v>78.71</v>
      </c>
      <c r="I115" s="5" t="n">
        <f aca="false">G115*H115</f>
        <v>2203.88</v>
      </c>
      <c r="J115" s="5" t="n">
        <f aca="false">I115*0.495</f>
        <v>1090.9206</v>
      </c>
      <c r="K115" s="5" t="n">
        <f aca="false">I115-J115</f>
        <v>1112.9594</v>
      </c>
      <c r="L115" s="6" t="n">
        <f aca="false">IF(I115=0,0,K115/I115)</f>
        <v>0.505</v>
      </c>
    </row>
    <row r="116" customFormat="false" ht="15" hidden="false" customHeight="false" outlineLevel="0" collapsed="false">
      <c r="A116" s="2" t="n">
        <v>45364</v>
      </c>
      <c r="B116" s="3" t="s">
        <v>40</v>
      </c>
      <c r="C116" s="3" t="s">
        <v>20</v>
      </c>
      <c r="D116" s="3" t="s">
        <v>39</v>
      </c>
      <c r="E116" s="3" t="s">
        <v>15</v>
      </c>
      <c r="F116" s="3" t="s">
        <v>16</v>
      </c>
      <c r="G116" s="4" t="n">
        <v>4</v>
      </c>
      <c r="H116" s="5" t="n">
        <v>26.09</v>
      </c>
      <c r="I116" s="5" t="n">
        <f aca="false">G116*H116</f>
        <v>104.36</v>
      </c>
      <c r="J116" s="5" t="n">
        <f aca="false">I116*0.512</f>
        <v>53.43232</v>
      </c>
      <c r="K116" s="5" t="n">
        <f aca="false">I116-J116</f>
        <v>50.92768</v>
      </c>
      <c r="L116" s="6" t="n">
        <f aca="false">IF(I116=0,0,K116/I116)</f>
        <v>0.488</v>
      </c>
    </row>
    <row r="117" customFormat="false" ht="15" hidden="false" customHeight="false" outlineLevel="0" collapsed="false">
      <c r="A117" s="2" t="n">
        <v>45516</v>
      </c>
      <c r="B117" s="3" t="s">
        <v>49</v>
      </c>
      <c r="C117" s="3" t="s">
        <v>35</v>
      </c>
      <c r="D117" s="3" t="s">
        <v>32</v>
      </c>
      <c r="E117" s="3" t="s">
        <v>15</v>
      </c>
      <c r="F117" s="3" t="s">
        <v>16</v>
      </c>
      <c r="G117" s="4" t="n">
        <v>30</v>
      </c>
      <c r="H117" s="5" t="n">
        <v>30.64</v>
      </c>
      <c r="I117" s="5" t="n">
        <f aca="false">G117*H117</f>
        <v>919.2</v>
      </c>
      <c r="J117" s="5" t="n">
        <f aca="false">I117*0.59</f>
        <v>542.328</v>
      </c>
      <c r="K117" s="5" t="n">
        <f aca="false">I117-J117</f>
        <v>376.872</v>
      </c>
      <c r="L117" s="6" t="n">
        <f aca="false">IF(I117=0,0,K117/I117)</f>
        <v>0.41</v>
      </c>
    </row>
    <row r="118" customFormat="false" ht="15" hidden="false" customHeight="false" outlineLevel="0" collapsed="false">
      <c r="A118" s="2" t="n">
        <v>45516</v>
      </c>
      <c r="B118" s="3" t="s">
        <v>49</v>
      </c>
      <c r="C118" s="3" t="s">
        <v>35</v>
      </c>
      <c r="D118" s="3" t="s">
        <v>39</v>
      </c>
      <c r="E118" s="3" t="s">
        <v>15</v>
      </c>
      <c r="F118" s="3" t="s">
        <v>16</v>
      </c>
      <c r="G118" s="4" t="n">
        <v>39</v>
      </c>
      <c r="H118" s="5" t="n">
        <v>25</v>
      </c>
      <c r="I118" s="5" t="n">
        <f aca="false">G118*H118</f>
        <v>975</v>
      </c>
      <c r="J118" s="5" t="n">
        <f aca="false">I118*0.536</f>
        <v>522.6</v>
      </c>
      <c r="K118" s="5" t="n">
        <f aca="false">I118-J118</f>
        <v>452.4</v>
      </c>
      <c r="L118" s="6" t="n">
        <f aca="false">IF(I118=0,0,K118/I118)</f>
        <v>0.464</v>
      </c>
    </row>
    <row r="119" customFormat="false" ht="15" hidden="false" customHeight="false" outlineLevel="0" collapsed="false">
      <c r="A119" s="2" t="n">
        <v>45305</v>
      </c>
      <c r="B119" s="3" t="s">
        <v>46</v>
      </c>
      <c r="C119" s="3" t="s">
        <v>20</v>
      </c>
      <c r="D119" s="3" t="s">
        <v>44</v>
      </c>
      <c r="E119" s="3" t="s">
        <v>15</v>
      </c>
      <c r="F119" s="3" t="s">
        <v>16</v>
      </c>
      <c r="G119" s="4" t="n">
        <v>15</v>
      </c>
      <c r="H119" s="5" t="n">
        <v>33.02</v>
      </c>
      <c r="I119" s="5" t="n">
        <f aca="false">G119*H119</f>
        <v>495.3</v>
      </c>
      <c r="J119" s="5" t="n">
        <f aca="false">I119*0.617</f>
        <v>305.6001</v>
      </c>
      <c r="K119" s="5" t="n">
        <f aca="false">I119-J119</f>
        <v>189.6999</v>
      </c>
      <c r="L119" s="6" t="n">
        <f aca="false">IF(I119=0,0,K119/I119)</f>
        <v>0.383</v>
      </c>
    </row>
    <row r="120" customFormat="false" ht="15" hidden="false" customHeight="false" outlineLevel="0" collapsed="false">
      <c r="A120" s="2" t="n">
        <v>45636</v>
      </c>
      <c r="B120" s="3" t="s">
        <v>17</v>
      </c>
      <c r="C120" s="3" t="s">
        <v>43</v>
      </c>
      <c r="D120" s="3" t="s">
        <v>32</v>
      </c>
      <c r="E120" s="3" t="s">
        <v>29</v>
      </c>
      <c r="F120" s="3" t="s">
        <v>30</v>
      </c>
      <c r="G120" s="4" t="n">
        <v>37</v>
      </c>
      <c r="H120" s="5" t="n">
        <v>38.79</v>
      </c>
      <c r="I120" s="5" t="n">
        <f aca="false">G120*H120</f>
        <v>1435.23</v>
      </c>
      <c r="J120" s="5" t="n">
        <f aca="false">I120*0.601</f>
        <v>862.57323</v>
      </c>
      <c r="K120" s="5" t="n">
        <f aca="false">I120-J120</f>
        <v>572.65677</v>
      </c>
      <c r="L120" s="6" t="n">
        <f aca="false">IF(I120=0,0,K120/I120)</f>
        <v>0.399</v>
      </c>
    </row>
    <row r="121" customFormat="false" ht="15" hidden="false" customHeight="false" outlineLevel="0" collapsed="false">
      <c r="A121" s="2" t="n">
        <v>45434</v>
      </c>
      <c r="B121" s="3" t="s">
        <v>45</v>
      </c>
      <c r="C121" s="3" t="s">
        <v>28</v>
      </c>
      <c r="D121" s="3" t="s">
        <v>32</v>
      </c>
      <c r="E121" s="3" t="s">
        <v>47</v>
      </c>
      <c r="F121" s="3" t="s">
        <v>48</v>
      </c>
      <c r="G121" s="4" t="n">
        <v>38</v>
      </c>
      <c r="H121" s="5" t="n">
        <v>587.48</v>
      </c>
      <c r="I121" s="5" t="n">
        <f aca="false">G121*H121</f>
        <v>22324.24</v>
      </c>
      <c r="J121" s="5" t="n">
        <f aca="false">I121*0.613</f>
        <v>13684.75912</v>
      </c>
      <c r="K121" s="5" t="n">
        <f aca="false">I121-J121</f>
        <v>8639.48088</v>
      </c>
      <c r="L121" s="6" t="n">
        <f aca="false">IF(I121=0,0,K121/I121)</f>
        <v>0.387</v>
      </c>
    </row>
    <row r="122" customFormat="false" ht="15" hidden="false" customHeight="false" outlineLevel="0" collapsed="false">
      <c r="A122" s="2" t="n">
        <v>45470</v>
      </c>
      <c r="B122" s="3" t="s">
        <v>27</v>
      </c>
      <c r="C122" s="3" t="s">
        <v>13</v>
      </c>
      <c r="D122" s="3" t="s">
        <v>34</v>
      </c>
      <c r="E122" s="3" t="s">
        <v>41</v>
      </c>
      <c r="F122" s="3" t="s">
        <v>26</v>
      </c>
      <c r="G122" s="4" t="n">
        <v>22</v>
      </c>
      <c r="H122" s="5" t="n">
        <v>377.58</v>
      </c>
      <c r="I122" s="5" t="n">
        <f aca="false">G122*H122</f>
        <v>8306.76</v>
      </c>
      <c r="J122" s="5" t="n">
        <f aca="false">I122*0.471</f>
        <v>3912.48396</v>
      </c>
      <c r="K122" s="5" t="n">
        <f aca="false">I122-J122</f>
        <v>4394.27604</v>
      </c>
      <c r="L122" s="6" t="n">
        <f aca="false">IF(I122=0,0,K122/I122)</f>
        <v>0.529</v>
      </c>
    </row>
    <row r="123" customFormat="false" ht="15" hidden="false" customHeight="false" outlineLevel="0" collapsed="false">
      <c r="A123" s="2" t="n">
        <v>45502</v>
      </c>
      <c r="B123" s="3" t="s">
        <v>31</v>
      </c>
      <c r="C123" s="3" t="s">
        <v>20</v>
      </c>
      <c r="D123" s="3" t="s">
        <v>44</v>
      </c>
      <c r="E123" s="3" t="s">
        <v>25</v>
      </c>
      <c r="F123" s="3" t="s">
        <v>26</v>
      </c>
      <c r="G123" s="4" t="n">
        <v>19</v>
      </c>
      <c r="H123" s="5" t="n">
        <v>470.9</v>
      </c>
      <c r="I123" s="5" t="n">
        <f aca="false">G123*H123</f>
        <v>8947.1</v>
      </c>
      <c r="J123" s="5" t="n">
        <f aca="false">I123*0.53</f>
        <v>4741.963</v>
      </c>
      <c r="K123" s="5" t="n">
        <f aca="false">I123-J123</f>
        <v>4205.137</v>
      </c>
      <c r="L123" s="6" t="n">
        <f aca="false">IF(I123=0,0,K123/I123)</f>
        <v>0.47</v>
      </c>
    </row>
    <row r="124" customFormat="false" ht="15" hidden="false" customHeight="false" outlineLevel="0" collapsed="false">
      <c r="A124" s="2" t="n">
        <v>45524</v>
      </c>
      <c r="B124" s="3" t="s">
        <v>49</v>
      </c>
      <c r="C124" s="3" t="s">
        <v>43</v>
      </c>
      <c r="D124" s="3" t="s">
        <v>44</v>
      </c>
      <c r="E124" s="3" t="s">
        <v>15</v>
      </c>
      <c r="F124" s="3" t="s">
        <v>16</v>
      </c>
      <c r="G124" s="4" t="n">
        <v>21</v>
      </c>
      <c r="H124" s="5" t="n">
        <v>26.85</v>
      </c>
      <c r="I124" s="5" t="n">
        <f aca="false">G124*H124</f>
        <v>563.85</v>
      </c>
      <c r="J124" s="5" t="n">
        <f aca="false">I124*0.473</f>
        <v>266.70105</v>
      </c>
      <c r="K124" s="5" t="n">
        <f aca="false">I124-J124</f>
        <v>297.14895</v>
      </c>
      <c r="L124" s="6" t="n">
        <f aca="false">IF(I124=0,0,K124/I124)</f>
        <v>0.527</v>
      </c>
    </row>
    <row r="125" customFormat="false" ht="15" hidden="false" customHeight="false" outlineLevel="0" collapsed="false">
      <c r="A125" s="2" t="n">
        <v>45628</v>
      </c>
      <c r="B125" s="3" t="s">
        <v>17</v>
      </c>
      <c r="C125" s="3" t="s">
        <v>20</v>
      </c>
      <c r="D125" s="3" t="s">
        <v>32</v>
      </c>
      <c r="E125" s="3" t="s">
        <v>25</v>
      </c>
      <c r="F125" s="3" t="s">
        <v>26</v>
      </c>
      <c r="G125" s="4" t="n">
        <v>27</v>
      </c>
      <c r="H125" s="5" t="n">
        <v>388.95</v>
      </c>
      <c r="I125" s="5" t="n">
        <f aca="false">G125*H125</f>
        <v>10501.65</v>
      </c>
      <c r="J125" s="5" t="n">
        <f aca="false">I125*0.554</f>
        <v>5817.9141</v>
      </c>
      <c r="K125" s="5" t="n">
        <f aca="false">I125-J125</f>
        <v>4683.7359</v>
      </c>
      <c r="L125" s="6" t="n">
        <f aca="false">IF(I125=0,0,K125/I125)</f>
        <v>0.446</v>
      </c>
    </row>
    <row r="126" customFormat="false" ht="15" hidden="false" customHeight="false" outlineLevel="0" collapsed="false">
      <c r="A126" s="2" t="n">
        <v>45612</v>
      </c>
      <c r="B126" s="3" t="s">
        <v>12</v>
      </c>
      <c r="C126" s="3" t="s">
        <v>13</v>
      </c>
      <c r="D126" s="3" t="s">
        <v>39</v>
      </c>
      <c r="E126" s="3" t="s">
        <v>25</v>
      </c>
      <c r="F126" s="3" t="s">
        <v>26</v>
      </c>
      <c r="G126" s="4" t="n">
        <v>49</v>
      </c>
      <c r="H126" s="5" t="n">
        <v>388.6</v>
      </c>
      <c r="I126" s="5" t="n">
        <f aca="false">G126*H126</f>
        <v>19041.4</v>
      </c>
      <c r="J126" s="5" t="n">
        <f aca="false">I126*0.503</f>
        <v>9577.8242</v>
      </c>
      <c r="K126" s="5" t="n">
        <f aca="false">I126-J126</f>
        <v>9463.5758</v>
      </c>
      <c r="L126" s="6" t="n">
        <f aca="false">IF(I126=0,0,K126/I126)</f>
        <v>0.497</v>
      </c>
    </row>
    <row r="127" customFormat="false" ht="15" hidden="false" customHeight="false" outlineLevel="0" collapsed="false">
      <c r="A127" s="2" t="n">
        <v>45516</v>
      </c>
      <c r="B127" s="3" t="s">
        <v>49</v>
      </c>
      <c r="C127" s="3" t="s">
        <v>13</v>
      </c>
      <c r="D127" s="3" t="s">
        <v>37</v>
      </c>
      <c r="E127" s="3" t="s">
        <v>25</v>
      </c>
      <c r="F127" s="3" t="s">
        <v>26</v>
      </c>
      <c r="G127" s="4" t="n">
        <v>8</v>
      </c>
      <c r="H127" s="5" t="n">
        <v>385.54</v>
      </c>
      <c r="I127" s="5" t="n">
        <f aca="false">G127*H127</f>
        <v>3084.32</v>
      </c>
      <c r="J127" s="5" t="n">
        <f aca="false">I127*0.576</f>
        <v>1776.56832</v>
      </c>
      <c r="K127" s="5" t="n">
        <f aca="false">I127-J127</f>
        <v>1307.75168</v>
      </c>
      <c r="L127" s="6" t="n">
        <f aca="false">IF(I127=0,0,K127/I127)</f>
        <v>0.424</v>
      </c>
    </row>
    <row r="128" customFormat="false" ht="15" hidden="false" customHeight="false" outlineLevel="0" collapsed="false">
      <c r="A128" s="2" t="n">
        <v>45451</v>
      </c>
      <c r="B128" s="3" t="s">
        <v>27</v>
      </c>
      <c r="C128" s="3" t="s">
        <v>28</v>
      </c>
      <c r="D128" s="3" t="s">
        <v>32</v>
      </c>
      <c r="E128" s="3" t="s">
        <v>22</v>
      </c>
      <c r="F128" s="3" t="s">
        <v>23</v>
      </c>
      <c r="G128" s="4" t="n">
        <v>36</v>
      </c>
      <c r="H128" s="5" t="n">
        <v>1263.14</v>
      </c>
      <c r="I128" s="5" t="n">
        <f aca="false">G128*H128</f>
        <v>45473.04</v>
      </c>
      <c r="J128" s="5" t="n">
        <f aca="false">I128*0.495</f>
        <v>22509.1548</v>
      </c>
      <c r="K128" s="5" t="n">
        <f aca="false">I128-J128</f>
        <v>22963.8852</v>
      </c>
      <c r="L128" s="6" t="n">
        <f aca="false">IF(I128=0,0,K128/I128)</f>
        <v>0.505</v>
      </c>
    </row>
    <row r="129" customFormat="false" ht="15" hidden="false" customHeight="false" outlineLevel="0" collapsed="false">
      <c r="A129" s="2" t="n">
        <v>45352</v>
      </c>
      <c r="B129" s="3" t="s">
        <v>40</v>
      </c>
      <c r="C129" s="3" t="s">
        <v>35</v>
      </c>
      <c r="D129" s="3" t="s">
        <v>21</v>
      </c>
      <c r="E129" s="3" t="s">
        <v>47</v>
      </c>
      <c r="F129" s="3" t="s">
        <v>48</v>
      </c>
      <c r="G129" s="4" t="n">
        <v>32</v>
      </c>
      <c r="H129" s="5" t="n">
        <v>676.75</v>
      </c>
      <c r="I129" s="5" t="n">
        <f aca="false">G129*H129</f>
        <v>21656</v>
      </c>
      <c r="J129" s="5" t="n">
        <f aca="false">I129*0.508</f>
        <v>11001.248</v>
      </c>
      <c r="K129" s="5" t="n">
        <f aca="false">I129-J129</f>
        <v>10654.752</v>
      </c>
      <c r="L129" s="6" t="n">
        <f aca="false">IF(I129=0,0,K129/I129)</f>
        <v>0.492</v>
      </c>
    </row>
    <row r="130" customFormat="false" ht="15" hidden="false" customHeight="false" outlineLevel="0" collapsed="false">
      <c r="A130" s="2" t="n">
        <v>45539</v>
      </c>
      <c r="B130" s="3" t="s">
        <v>19</v>
      </c>
      <c r="C130" s="3" t="s">
        <v>13</v>
      </c>
      <c r="D130" s="3" t="s">
        <v>37</v>
      </c>
      <c r="E130" s="3" t="s">
        <v>25</v>
      </c>
      <c r="F130" s="3" t="s">
        <v>26</v>
      </c>
      <c r="G130" s="4" t="n">
        <v>16</v>
      </c>
      <c r="H130" s="5" t="n">
        <v>443.18</v>
      </c>
      <c r="I130" s="5" t="n">
        <f aca="false">G130*H130</f>
        <v>7090.88</v>
      </c>
      <c r="J130" s="5" t="n">
        <f aca="false">I130*0.479</f>
        <v>3396.53152</v>
      </c>
      <c r="K130" s="5" t="n">
        <f aca="false">I130-J130</f>
        <v>3694.34848</v>
      </c>
      <c r="L130" s="6" t="n">
        <f aca="false">IF(I130=0,0,K130/I130)</f>
        <v>0.521</v>
      </c>
    </row>
    <row r="131" customFormat="false" ht="15" hidden="false" customHeight="false" outlineLevel="0" collapsed="false">
      <c r="A131" s="2" t="n">
        <v>45327</v>
      </c>
      <c r="B131" s="3" t="s">
        <v>42</v>
      </c>
      <c r="C131" s="3" t="s">
        <v>20</v>
      </c>
      <c r="D131" s="3" t="s">
        <v>39</v>
      </c>
      <c r="E131" s="3" t="s">
        <v>29</v>
      </c>
      <c r="F131" s="3" t="s">
        <v>30</v>
      </c>
      <c r="G131" s="4" t="n">
        <v>50</v>
      </c>
      <c r="H131" s="5" t="n">
        <v>48.92</v>
      </c>
      <c r="I131" s="5" t="n">
        <f aca="false">G131*H131</f>
        <v>2446</v>
      </c>
      <c r="J131" s="5" t="n">
        <f aca="false">I131*0.533</f>
        <v>1303.718</v>
      </c>
      <c r="K131" s="5" t="n">
        <f aca="false">I131-J131</f>
        <v>1142.282</v>
      </c>
      <c r="L131" s="6" t="n">
        <f aca="false">IF(I131=0,0,K131/I131)</f>
        <v>0.467</v>
      </c>
    </row>
    <row r="132" customFormat="false" ht="15" hidden="false" customHeight="false" outlineLevel="0" collapsed="false">
      <c r="A132" s="2" t="n">
        <v>45293</v>
      </c>
      <c r="B132" s="3" t="s">
        <v>46</v>
      </c>
      <c r="C132" s="3" t="s">
        <v>43</v>
      </c>
      <c r="D132" s="3" t="s">
        <v>37</v>
      </c>
      <c r="E132" s="3" t="s">
        <v>29</v>
      </c>
      <c r="F132" s="3" t="s">
        <v>30</v>
      </c>
      <c r="G132" s="4" t="n">
        <v>47</v>
      </c>
      <c r="H132" s="5" t="n">
        <v>42.28</v>
      </c>
      <c r="I132" s="5" t="n">
        <f aca="false">G132*H132</f>
        <v>1987.16</v>
      </c>
      <c r="J132" s="5" t="n">
        <f aca="false">I132*0.567</f>
        <v>1126.71972</v>
      </c>
      <c r="K132" s="5" t="n">
        <f aca="false">I132-J132</f>
        <v>860.44028</v>
      </c>
      <c r="L132" s="6" t="n">
        <f aca="false">IF(I132=0,0,K132/I132)</f>
        <v>0.433</v>
      </c>
    </row>
    <row r="133" customFormat="false" ht="15" hidden="false" customHeight="false" outlineLevel="0" collapsed="false">
      <c r="A133" s="2" t="n">
        <v>45520</v>
      </c>
      <c r="B133" s="3" t="s">
        <v>49</v>
      </c>
      <c r="C133" s="3" t="s">
        <v>43</v>
      </c>
      <c r="D133" s="3" t="s">
        <v>32</v>
      </c>
      <c r="E133" s="3" t="s">
        <v>25</v>
      </c>
      <c r="F133" s="3" t="s">
        <v>26</v>
      </c>
      <c r="G133" s="4" t="n">
        <v>23</v>
      </c>
      <c r="H133" s="5" t="n">
        <v>426.43</v>
      </c>
      <c r="I133" s="5" t="n">
        <f aca="false">G133*H133</f>
        <v>9807.89</v>
      </c>
      <c r="J133" s="5" t="n">
        <f aca="false">I133*0.603</f>
        <v>5914.15767</v>
      </c>
      <c r="K133" s="5" t="n">
        <f aca="false">I133-J133</f>
        <v>3893.73233</v>
      </c>
      <c r="L133" s="6" t="n">
        <f aca="false">IF(I133=0,0,K133/I133)</f>
        <v>0.397</v>
      </c>
    </row>
    <row r="134" customFormat="false" ht="15" hidden="false" customHeight="false" outlineLevel="0" collapsed="false">
      <c r="A134" s="2" t="n">
        <v>45456</v>
      </c>
      <c r="B134" s="3" t="s">
        <v>27</v>
      </c>
      <c r="C134" s="3" t="s">
        <v>43</v>
      </c>
      <c r="D134" s="3" t="s">
        <v>44</v>
      </c>
      <c r="E134" s="3" t="s">
        <v>36</v>
      </c>
      <c r="F134" s="3" t="s">
        <v>16</v>
      </c>
      <c r="G134" s="4" t="n">
        <v>45</v>
      </c>
      <c r="H134" s="5" t="n">
        <v>82.03</v>
      </c>
      <c r="I134" s="5" t="n">
        <f aca="false">G134*H134</f>
        <v>3691.35</v>
      </c>
      <c r="J134" s="5" t="n">
        <f aca="false">I134*0.527</f>
        <v>1945.34145</v>
      </c>
      <c r="K134" s="5" t="n">
        <f aca="false">I134-J134</f>
        <v>1746.00855</v>
      </c>
      <c r="L134" s="6" t="n">
        <f aca="false">IF(I134=0,0,K134/I134)</f>
        <v>0.473</v>
      </c>
    </row>
    <row r="135" customFormat="false" ht="15" hidden="false" customHeight="false" outlineLevel="0" collapsed="false">
      <c r="A135" s="2" t="n">
        <v>45454</v>
      </c>
      <c r="B135" s="3" t="s">
        <v>27</v>
      </c>
      <c r="C135" s="3" t="s">
        <v>13</v>
      </c>
      <c r="D135" s="3" t="s">
        <v>32</v>
      </c>
      <c r="E135" s="3" t="s">
        <v>25</v>
      </c>
      <c r="F135" s="3" t="s">
        <v>26</v>
      </c>
      <c r="G135" s="4" t="n">
        <v>46</v>
      </c>
      <c r="H135" s="5" t="n">
        <v>504.69</v>
      </c>
      <c r="I135" s="5" t="n">
        <f aca="false">G135*H135</f>
        <v>23215.74</v>
      </c>
      <c r="J135" s="5" t="n">
        <f aca="false">I135*0.526</f>
        <v>12211.47924</v>
      </c>
      <c r="K135" s="5" t="n">
        <f aca="false">I135-J135</f>
        <v>11004.26076</v>
      </c>
      <c r="L135" s="6" t="n">
        <f aca="false">IF(I135=0,0,K135/I135)</f>
        <v>0.474</v>
      </c>
    </row>
    <row r="136" customFormat="false" ht="15" hidden="false" customHeight="false" outlineLevel="0" collapsed="false">
      <c r="A136" s="2" t="n">
        <v>45310</v>
      </c>
      <c r="B136" s="3" t="s">
        <v>46</v>
      </c>
      <c r="C136" s="3" t="s">
        <v>28</v>
      </c>
      <c r="D136" s="3" t="s">
        <v>32</v>
      </c>
      <c r="E136" s="3" t="s">
        <v>47</v>
      </c>
      <c r="F136" s="3" t="s">
        <v>48</v>
      </c>
      <c r="G136" s="4" t="n">
        <v>33</v>
      </c>
      <c r="H136" s="5" t="n">
        <v>682.62</v>
      </c>
      <c r="I136" s="5" t="n">
        <f aca="false">G136*H136</f>
        <v>22526.46</v>
      </c>
      <c r="J136" s="5" t="n">
        <f aca="false">I136*0.516</f>
        <v>11623.65336</v>
      </c>
      <c r="K136" s="5" t="n">
        <f aca="false">I136-J136</f>
        <v>10902.80664</v>
      </c>
      <c r="L136" s="6" t="n">
        <f aca="false">IF(I136=0,0,K136/I136)</f>
        <v>0.484</v>
      </c>
    </row>
    <row r="137" customFormat="false" ht="15" hidden="false" customHeight="false" outlineLevel="0" collapsed="false">
      <c r="A137" s="2" t="n">
        <v>45343</v>
      </c>
      <c r="B137" s="3" t="s">
        <v>42</v>
      </c>
      <c r="C137" s="3" t="s">
        <v>13</v>
      </c>
      <c r="D137" s="3" t="s">
        <v>14</v>
      </c>
      <c r="E137" s="3" t="s">
        <v>25</v>
      </c>
      <c r="F137" s="3" t="s">
        <v>26</v>
      </c>
      <c r="G137" s="4" t="n">
        <v>1</v>
      </c>
      <c r="H137" s="5" t="n">
        <v>478.96</v>
      </c>
      <c r="I137" s="5" t="n">
        <f aca="false">G137*H137</f>
        <v>478.96</v>
      </c>
      <c r="J137" s="5" t="n">
        <f aca="false">I137*0.532</f>
        <v>254.80672</v>
      </c>
      <c r="K137" s="5" t="n">
        <f aca="false">I137-J137</f>
        <v>224.15328</v>
      </c>
      <c r="L137" s="6" t="n">
        <f aca="false">IF(I137=0,0,K137/I137)</f>
        <v>0.468</v>
      </c>
    </row>
    <row r="138" customFormat="false" ht="15" hidden="false" customHeight="false" outlineLevel="0" collapsed="false">
      <c r="A138" s="2" t="n">
        <v>45532</v>
      </c>
      <c r="B138" s="3" t="s">
        <v>49</v>
      </c>
      <c r="C138" s="3" t="s">
        <v>28</v>
      </c>
      <c r="D138" s="3" t="s">
        <v>34</v>
      </c>
      <c r="E138" s="3" t="s">
        <v>29</v>
      </c>
      <c r="F138" s="3" t="s">
        <v>30</v>
      </c>
      <c r="G138" s="4" t="n">
        <v>22</v>
      </c>
      <c r="H138" s="5" t="n">
        <v>46.66</v>
      </c>
      <c r="I138" s="5" t="n">
        <f aca="false">G138*H138</f>
        <v>1026.52</v>
      </c>
      <c r="J138" s="5" t="n">
        <f aca="false">I138*0.529</f>
        <v>543.02908</v>
      </c>
      <c r="K138" s="5" t="n">
        <f aca="false">I138-J138</f>
        <v>483.49092</v>
      </c>
      <c r="L138" s="6" t="n">
        <f aca="false">IF(I138=0,0,K138/I138)</f>
        <v>0.471</v>
      </c>
    </row>
    <row r="139" customFormat="false" ht="15" hidden="false" customHeight="false" outlineLevel="0" collapsed="false">
      <c r="A139" s="2" t="n">
        <v>45637</v>
      </c>
      <c r="B139" s="3" t="s">
        <v>17</v>
      </c>
      <c r="C139" s="3" t="s">
        <v>43</v>
      </c>
      <c r="D139" s="3" t="s">
        <v>44</v>
      </c>
      <c r="E139" s="3" t="s">
        <v>41</v>
      </c>
      <c r="F139" s="3" t="s">
        <v>26</v>
      </c>
      <c r="G139" s="4" t="n">
        <v>21</v>
      </c>
      <c r="H139" s="5" t="n">
        <v>414.18</v>
      </c>
      <c r="I139" s="5" t="n">
        <f aca="false">G139*H139</f>
        <v>8697.78</v>
      </c>
      <c r="J139" s="5" t="n">
        <f aca="false">I139*0.627</f>
        <v>5453.50806</v>
      </c>
      <c r="K139" s="5" t="n">
        <f aca="false">I139-J139</f>
        <v>3244.27194</v>
      </c>
      <c r="L139" s="6" t="n">
        <f aca="false">IF(I139=0,0,K139/I139)</f>
        <v>0.373</v>
      </c>
    </row>
    <row r="140" customFormat="false" ht="15" hidden="false" customHeight="false" outlineLevel="0" collapsed="false">
      <c r="A140" s="2" t="n">
        <v>45608</v>
      </c>
      <c r="B140" s="3" t="s">
        <v>12</v>
      </c>
      <c r="C140" s="3" t="s">
        <v>13</v>
      </c>
      <c r="D140" s="3" t="s">
        <v>14</v>
      </c>
      <c r="E140" s="3" t="s">
        <v>15</v>
      </c>
      <c r="F140" s="3" t="s">
        <v>16</v>
      </c>
      <c r="G140" s="4" t="n">
        <v>16</v>
      </c>
      <c r="H140" s="5" t="n">
        <v>30.14</v>
      </c>
      <c r="I140" s="5" t="n">
        <f aca="false">G140*H140</f>
        <v>482.24</v>
      </c>
      <c r="J140" s="5" t="n">
        <f aca="false">I140*0.634</f>
        <v>305.74016</v>
      </c>
      <c r="K140" s="5" t="n">
        <f aca="false">I140-J140</f>
        <v>176.49984</v>
      </c>
      <c r="L140" s="6" t="n">
        <f aca="false">IF(I140=0,0,K140/I140)</f>
        <v>0.366</v>
      </c>
    </row>
    <row r="141" customFormat="false" ht="15" hidden="false" customHeight="false" outlineLevel="0" collapsed="false">
      <c r="A141" s="2" t="n">
        <v>45514</v>
      </c>
      <c r="B141" s="3" t="s">
        <v>49</v>
      </c>
      <c r="C141" s="3" t="s">
        <v>43</v>
      </c>
      <c r="D141" s="3" t="s">
        <v>37</v>
      </c>
      <c r="E141" s="3" t="s">
        <v>15</v>
      </c>
      <c r="F141" s="3" t="s">
        <v>16</v>
      </c>
      <c r="G141" s="4" t="n">
        <v>49</v>
      </c>
      <c r="H141" s="5" t="n">
        <v>30.16</v>
      </c>
      <c r="I141" s="5" t="n">
        <f aca="false">G141*H141</f>
        <v>1477.84</v>
      </c>
      <c r="J141" s="5" t="n">
        <f aca="false">I141*0.625</f>
        <v>923.65</v>
      </c>
      <c r="K141" s="5" t="n">
        <f aca="false">I141-J141</f>
        <v>554.19</v>
      </c>
      <c r="L141" s="6" t="n">
        <f aca="false">IF(I141=0,0,K141/I141)</f>
        <v>0.375</v>
      </c>
    </row>
    <row r="142" customFormat="false" ht="15" hidden="false" customHeight="false" outlineLevel="0" collapsed="false">
      <c r="A142" s="2" t="n">
        <v>45647</v>
      </c>
      <c r="B142" s="3" t="s">
        <v>17</v>
      </c>
      <c r="C142" s="3" t="s">
        <v>35</v>
      </c>
      <c r="D142" s="3" t="s">
        <v>34</v>
      </c>
      <c r="E142" s="3" t="s">
        <v>29</v>
      </c>
      <c r="F142" s="3" t="s">
        <v>30</v>
      </c>
      <c r="G142" s="4" t="n">
        <v>2</v>
      </c>
      <c r="H142" s="5" t="n">
        <v>38.87</v>
      </c>
      <c r="I142" s="5" t="n">
        <f aca="false">G142*H142</f>
        <v>77.74</v>
      </c>
      <c r="J142" s="5" t="n">
        <f aca="false">I142*0.609</f>
        <v>47.34366</v>
      </c>
      <c r="K142" s="5" t="n">
        <f aca="false">I142-J142</f>
        <v>30.39634</v>
      </c>
      <c r="L142" s="6" t="n">
        <f aca="false">IF(I142=0,0,K142/I142)</f>
        <v>0.391</v>
      </c>
    </row>
    <row r="143" customFormat="false" ht="15" hidden="false" customHeight="false" outlineLevel="0" collapsed="false">
      <c r="A143" s="2" t="n">
        <v>45483</v>
      </c>
      <c r="B143" s="3" t="s">
        <v>31</v>
      </c>
      <c r="C143" s="3" t="s">
        <v>13</v>
      </c>
      <c r="D143" s="3" t="s">
        <v>37</v>
      </c>
      <c r="E143" s="3" t="s">
        <v>41</v>
      </c>
      <c r="F143" s="3" t="s">
        <v>26</v>
      </c>
      <c r="G143" s="4" t="n">
        <v>10</v>
      </c>
      <c r="H143" s="5" t="n">
        <v>368.38</v>
      </c>
      <c r="I143" s="5" t="n">
        <f aca="false">G143*H143</f>
        <v>3683.8</v>
      </c>
      <c r="J143" s="5" t="n">
        <f aca="false">I143*0.532</f>
        <v>1959.7816</v>
      </c>
      <c r="K143" s="5" t="n">
        <f aca="false">I143-J143</f>
        <v>1724.0184</v>
      </c>
      <c r="L143" s="6" t="n">
        <f aca="false">IF(I143=0,0,K143/I143)</f>
        <v>0.468</v>
      </c>
    </row>
    <row r="144" customFormat="false" ht="15" hidden="false" customHeight="false" outlineLevel="0" collapsed="false">
      <c r="A144" s="2" t="n">
        <v>45381</v>
      </c>
      <c r="B144" s="3" t="s">
        <v>40</v>
      </c>
      <c r="C144" s="3" t="s">
        <v>13</v>
      </c>
      <c r="D144" s="3" t="s">
        <v>32</v>
      </c>
      <c r="E144" s="3" t="s">
        <v>15</v>
      </c>
      <c r="F144" s="3" t="s">
        <v>16</v>
      </c>
      <c r="G144" s="4" t="n">
        <v>40</v>
      </c>
      <c r="H144" s="5" t="n">
        <v>32.23</v>
      </c>
      <c r="I144" s="5" t="n">
        <f aca="false">G144*H144</f>
        <v>1289.2</v>
      </c>
      <c r="J144" s="5" t="n">
        <f aca="false">I144*0.574</f>
        <v>740.0008</v>
      </c>
      <c r="K144" s="5" t="n">
        <f aca="false">I144-J144</f>
        <v>549.1992</v>
      </c>
      <c r="L144" s="6" t="n">
        <f aca="false">IF(I144=0,0,K144/I144)</f>
        <v>0.426</v>
      </c>
    </row>
    <row r="145" customFormat="false" ht="15" hidden="false" customHeight="false" outlineLevel="0" collapsed="false">
      <c r="A145" s="2" t="n">
        <v>45590</v>
      </c>
      <c r="B145" s="3" t="s">
        <v>33</v>
      </c>
      <c r="C145" s="3" t="s">
        <v>35</v>
      </c>
      <c r="D145" s="3" t="s">
        <v>44</v>
      </c>
      <c r="E145" s="3" t="s">
        <v>47</v>
      </c>
      <c r="F145" s="3" t="s">
        <v>48</v>
      </c>
      <c r="G145" s="4" t="n">
        <v>15</v>
      </c>
      <c r="H145" s="5" t="n">
        <v>592.02</v>
      </c>
      <c r="I145" s="5" t="n">
        <f aca="false">G145*H145</f>
        <v>8880.3</v>
      </c>
      <c r="J145" s="5" t="n">
        <f aca="false">I145*0.501</f>
        <v>4449.0303</v>
      </c>
      <c r="K145" s="5" t="n">
        <f aca="false">I145-J145</f>
        <v>4431.2697</v>
      </c>
      <c r="L145" s="6" t="n">
        <f aca="false">IF(I145=0,0,K145/I145)</f>
        <v>0.499</v>
      </c>
    </row>
    <row r="146" customFormat="false" ht="15" hidden="false" customHeight="false" outlineLevel="0" collapsed="false">
      <c r="A146" s="2" t="n">
        <v>45530</v>
      </c>
      <c r="B146" s="3" t="s">
        <v>49</v>
      </c>
      <c r="C146" s="3" t="s">
        <v>35</v>
      </c>
      <c r="D146" s="3" t="s">
        <v>39</v>
      </c>
      <c r="E146" s="3" t="s">
        <v>29</v>
      </c>
      <c r="F146" s="3" t="s">
        <v>30</v>
      </c>
      <c r="G146" s="4" t="n">
        <v>44</v>
      </c>
      <c r="H146" s="5" t="n">
        <v>45.63</v>
      </c>
      <c r="I146" s="5" t="n">
        <f aca="false">G146*H146</f>
        <v>2007.72</v>
      </c>
      <c r="J146" s="5" t="n">
        <f aca="false">I146*0.465</f>
        <v>933.5898</v>
      </c>
      <c r="K146" s="5" t="n">
        <f aca="false">I146-J146</f>
        <v>1074.1302</v>
      </c>
      <c r="L146" s="6" t="n">
        <f aca="false">IF(I146=0,0,K146/I146)</f>
        <v>0.535</v>
      </c>
    </row>
    <row r="147" customFormat="false" ht="15" hidden="false" customHeight="false" outlineLevel="0" collapsed="false">
      <c r="A147" s="2" t="n">
        <v>45619</v>
      </c>
      <c r="B147" s="3" t="s">
        <v>12</v>
      </c>
      <c r="C147" s="3" t="s">
        <v>13</v>
      </c>
      <c r="D147" s="3" t="s">
        <v>21</v>
      </c>
      <c r="E147" s="3" t="s">
        <v>41</v>
      </c>
      <c r="F147" s="3" t="s">
        <v>26</v>
      </c>
      <c r="G147" s="4" t="n">
        <v>45</v>
      </c>
      <c r="H147" s="5" t="n">
        <v>369.09</v>
      </c>
      <c r="I147" s="5" t="n">
        <f aca="false">G147*H147</f>
        <v>16609.05</v>
      </c>
      <c r="J147" s="5" t="n">
        <f aca="false">I147*0.619</f>
        <v>10281.00195</v>
      </c>
      <c r="K147" s="5" t="n">
        <f aca="false">I147-J147</f>
        <v>6328.04805</v>
      </c>
      <c r="L147" s="6" t="n">
        <f aca="false">IF(I147=0,0,K147/I147)</f>
        <v>0.381</v>
      </c>
    </row>
    <row r="148" customFormat="false" ht="15" hidden="false" customHeight="false" outlineLevel="0" collapsed="false">
      <c r="A148" s="2" t="n">
        <v>45539</v>
      </c>
      <c r="B148" s="3" t="s">
        <v>19</v>
      </c>
      <c r="C148" s="3" t="s">
        <v>35</v>
      </c>
      <c r="D148" s="3" t="s">
        <v>39</v>
      </c>
      <c r="E148" s="3" t="s">
        <v>15</v>
      </c>
      <c r="F148" s="3" t="s">
        <v>16</v>
      </c>
      <c r="G148" s="4" t="n">
        <v>16</v>
      </c>
      <c r="H148" s="5" t="n">
        <v>27.97</v>
      </c>
      <c r="I148" s="5" t="n">
        <f aca="false">G148*H148</f>
        <v>447.52</v>
      </c>
      <c r="J148" s="5" t="n">
        <f aca="false">I148*0.522</f>
        <v>233.60544</v>
      </c>
      <c r="K148" s="5" t="n">
        <f aca="false">I148-J148</f>
        <v>213.91456</v>
      </c>
      <c r="L148" s="6" t="n">
        <f aca="false">IF(I148=0,0,K148/I148)</f>
        <v>0.478</v>
      </c>
    </row>
    <row r="149" customFormat="false" ht="15" hidden="false" customHeight="false" outlineLevel="0" collapsed="false">
      <c r="A149" s="2" t="n">
        <v>45303</v>
      </c>
      <c r="B149" s="3" t="s">
        <v>46</v>
      </c>
      <c r="C149" s="3" t="s">
        <v>28</v>
      </c>
      <c r="D149" s="3" t="s">
        <v>32</v>
      </c>
      <c r="E149" s="3" t="s">
        <v>41</v>
      </c>
      <c r="F149" s="3" t="s">
        <v>26</v>
      </c>
      <c r="G149" s="4" t="n">
        <v>18</v>
      </c>
      <c r="H149" s="5" t="n">
        <v>340.12</v>
      </c>
      <c r="I149" s="5" t="n">
        <f aca="false">G149*H149</f>
        <v>6122.16</v>
      </c>
      <c r="J149" s="5" t="n">
        <f aca="false">I149*0.623</f>
        <v>3814.10568</v>
      </c>
      <c r="K149" s="5" t="n">
        <f aca="false">I149-J149</f>
        <v>2308.05432</v>
      </c>
      <c r="L149" s="6" t="n">
        <f aca="false">IF(I149=0,0,K149/I149)</f>
        <v>0.377</v>
      </c>
    </row>
    <row r="150" customFormat="false" ht="15" hidden="false" customHeight="false" outlineLevel="0" collapsed="false">
      <c r="A150" s="2" t="n">
        <v>45438</v>
      </c>
      <c r="B150" s="3" t="s">
        <v>45</v>
      </c>
      <c r="C150" s="3" t="s">
        <v>13</v>
      </c>
      <c r="D150" s="3" t="s">
        <v>39</v>
      </c>
      <c r="E150" s="3" t="s">
        <v>36</v>
      </c>
      <c r="F150" s="3" t="s">
        <v>16</v>
      </c>
      <c r="G150" s="4" t="n">
        <v>39</v>
      </c>
      <c r="H150" s="5" t="n">
        <v>97.06</v>
      </c>
      <c r="I150" s="5" t="n">
        <f aca="false">G150*H150</f>
        <v>3785.34</v>
      </c>
      <c r="J150" s="5" t="n">
        <f aca="false">I150*0.494</f>
        <v>1869.95796</v>
      </c>
      <c r="K150" s="5" t="n">
        <f aca="false">I150-J150</f>
        <v>1915.38204</v>
      </c>
      <c r="L150" s="6" t="n">
        <f aca="false">IF(I150=0,0,K150/I150)</f>
        <v>0.506</v>
      </c>
    </row>
    <row r="151" customFormat="false" ht="15" hidden="false" customHeight="false" outlineLevel="0" collapsed="false">
      <c r="A151" s="2" t="n">
        <v>45639</v>
      </c>
      <c r="B151" s="3" t="s">
        <v>17</v>
      </c>
      <c r="C151" s="3" t="s">
        <v>28</v>
      </c>
      <c r="D151" s="3" t="s">
        <v>39</v>
      </c>
      <c r="E151" s="3" t="s">
        <v>47</v>
      </c>
      <c r="F151" s="3" t="s">
        <v>48</v>
      </c>
      <c r="G151" s="4" t="n">
        <v>41</v>
      </c>
      <c r="H151" s="5" t="n">
        <v>526.61</v>
      </c>
      <c r="I151" s="5" t="n">
        <f aca="false">G151*H151</f>
        <v>21591.01</v>
      </c>
      <c r="J151" s="5" t="n">
        <f aca="false">I151*0.575</f>
        <v>12414.83075</v>
      </c>
      <c r="K151" s="5" t="n">
        <f aca="false">I151-J151</f>
        <v>9176.17925</v>
      </c>
      <c r="L151" s="6" t="n">
        <f aca="false">IF(I151=0,0,K151/I151)</f>
        <v>0.425</v>
      </c>
    </row>
    <row r="152" customFormat="false" ht="15" hidden="false" customHeight="false" outlineLevel="0" collapsed="false">
      <c r="A152" s="2" t="n">
        <v>45517</v>
      </c>
      <c r="B152" s="3" t="s">
        <v>49</v>
      </c>
      <c r="C152" s="3" t="s">
        <v>35</v>
      </c>
      <c r="D152" s="3" t="s">
        <v>34</v>
      </c>
      <c r="E152" s="3" t="s">
        <v>22</v>
      </c>
      <c r="F152" s="3" t="s">
        <v>23</v>
      </c>
      <c r="G152" s="4" t="n">
        <v>38</v>
      </c>
      <c r="H152" s="5" t="n">
        <v>1246.34</v>
      </c>
      <c r="I152" s="5" t="n">
        <f aca="false">G152*H152</f>
        <v>47360.92</v>
      </c>
      <c r="J152" s="5" t="n">
        <f aca="false">I152*0.476</f>
        <v>22543.79792</v>
      </c>
      <c r="K152" s="5" t="n">
        <f aca="false">I152-J152</f>
        <v>24817.12208</v>
      </c>
      <c r="L152" s="6" t="n">
        <f aca="false">IF(I152=0,0,K152/I152)</f>
        <v>0.524</v>
      </c>
    </row>
    <row r="153" customFormat="false" ht="15" hidden="false" customHeight="false" outlineLevel="0" collapsed="false">
      <c r="A153" s="2" t="n">
        <v>45504</v>
      </c>
      <c r="B153" s="3" t="s">
        <v>31</v>
      </c>
      <c r="C153" s="3" t="s">
        <v>35</v>
      </c>
      <c r="D153" s="3" t="s">
        <v>39</v>
      </c>
      <c r="E153" s="3" t="s">
        <v>47</v>
      </c>
      <c r="F153" s="3" t="s">
        <v>48</v>
      </c>
      <c r="G153" s="4" t="n">
        <v>13</v>
      </c>
      <c r="H153" s="5" t="n">
        <v>532.9</v>
      </c>
      <c r="I153" s="5" t="n">
        <f aca="false">G153*H153</f>
        <v>6927.7</v>
      </c>
      <c r="J153" s="5" t="n">
        <f aca="false">I153*0.558</f>
        <v>3865.6566</v>
      </c>
      <c r="K153" s="5" t="n">
        <f aca="false">I153-J153</f>
        <v>3062.0434</v>
      </c>
      <c r="L153" s="6" t="n">
        <f aca="false">IF(I153=0,0,K153/I153)</f>
        <v>0.442</v>
      </c>
    </row>
    <row r="154" customFormat="false" ht="15" hidden="false" customHeight="false" outlineLevel="0" collapsed="false">
      <c r="A154" s="2" t="n">
        <v>45376</v>
      </c>
      <c r="B154" s="3" t="s">
        <v>40</v>
      </c>
      <c r="C154" s="3" t="s">
        <v>35</v>
      </c>
      <c r="D154" s="3" t="s">
        <v>14</v>
      </c>
      <c r="E154" s="3" t="s">
        <v>29</v>
      </c>
      <c r="F154" s="3" t="s">
        <v>30</v>
      </c>
      <c r="G154" s="4" t="n">
        <v>31</v>
      </c>
      <c r="H154" s="5" t="n">
        <v>51.31</v>
      </c>
      <c r="I154" s="5" t="n">
        <f aca="false">G154*H154</f>
        <v>1590.61</v>
      </c>
      <c r="J154" s="5" t="n">
        <f aca="false">I154*0.509</f>
        <v>809.62049</v>
      </c>
      <c r="K154" s="5" t="n">
        <f aca="false">I154-J154</f>
        <v>780.98951</v>
      </c>
      <c r="L154" s="6" t="n">
        <f aca="false">IF(I154=0,0,K154/I154)</f>
        <v>0.491</v>
      </c>
    </row>
    <row r="155" customFormat="false" ht="15" hidden="false" customHeight="false" outlineLevel="0" collapsed="false">
      <c r="A155" s="2" t="n">
        <v>45531</v>
      </c>
      <c r="B155" s="3" t="s">
        <v>49</v>
      </c>
      <c r="C155" s="3" t="s">
        <v>43</v>
      </c>
      <c r="D155" s="3" t="s">
        <v>34</v>
      </c>
      <c r="E155" s="3" t="s">
        <v>15</v>
      </c>
      <c r="F155" s="3" t="s">
        <v>16</v>
      </c>
      <c r="G155" s="4" t="n">
        <v>10</v>
      </c>
      <c r="H155" s="5" t="n">
        <v>31.21</v>
      </c>
      <c r="I155" s="5" t="n">
        <f aca="false">G155*H155</f>
        <v>312.1</v>
      </c>
      <c r="J155" s="5" t="n">
        <f aca="false">I155*0.495</f>
        <v>154.4895</v>
      </c>
      <c r="K155" s="5" t="n">
        <f aca="false">I155-J155</f>
        <v>157.6105</v>
      </c>
      <c r="L155" s="6" t="n">
        <f aca="false">IF(I155=0,0,K155/I155)</f>
        <v>0.505</v>
      </c>
    </row>
    <row r="156" customFormat="false" ht="15" hidden="false" customHeight="false" outlineLevel="0" collapsed="false">
      <c r="A156" s="2" t="n">
        <v>45338</v>
      </c>
      <c r="B156" s="3" t="s">
        <v>42</v>
      </c>
      <c r="C156" s="3" t="s">
        <v>35</v>
      </c>
      <c r="D156" s="3" t="s">
        <v>39</v>
      </c>
      <c r="E156" s="3" t="s">
        <v>41</v>
      </c>
      <c r="F156" s="3" t="s">
        <v>26</v>
      </c>
      <c r="G156" s="4" t="n">
        <v>1</v>
      </c>
      <c r="H156" s="5" t="n">
        <v>370.81</v>
      </c>
      <c r="I156" s="5" t="n">
        <f aca="false">G156*H156</f>
        <v>370.81</v>
      </c>
      <c r="J156" s="5" t="n">
        <f aca="false">I156*0.475</f>
        <v>176.13475</v>
      </c>
      <c r="K156" s="5" t="n">
        <f aca="false">I156-J156</f>
        <v>194.67525</v>
      </c>
      <c r="L156" s="6" t="n">
        <f aca="false">IF(I156=0,0,K156/I156)</f>
        <v>0.525</v>
      </c>
    </row>
    <row r="157" customFormat="false" ht="15" hidden="false" customHeight="false" outlineLevel="0" collapsed="false">
      <c r="A157" s="2" t="n">
        <v>45591</v>
      </c>
      <c r="B157" s="3" t="s">
        <v>33</v>
      </c>
      <c r="C157" s="3" t="s">
        <v>13</v>
      </c>
      <c r="D157" s="3" t="s">
        <v>32</v>
      </c>
      <c r="E157" s="3" t="s">
        <v>41</v>
      </c>
      <c r="F157" s="3" t="s">
        <v>26</v>
      </c>
      <c r="G157" s="4" t="n">
        <v>41</v>
      </c>
      <c r="H157" s="5" t="n">
        <v>451.7</v>
      </c>
      <c r="I157" s="5" t="n">
        <f aca="false">G157*H157</f>
        <v>18519.7</v>
      </c>
      <c r="J157" s="5" t="n">
        <f aca="false">I157*0.472</f>
        <v>8741.2984</v>
      </c>
      <c r="K157" s="5" t="n">
        <f aca="false">I157-J157</f>
        <v>9778.4016</v>
      </c>
      <c r="L157" s="6" t="n">
        <f aca="false">IF(I157=0,0,K157/I157)</f>
        <v>0.528</v>
      </c>
    </row>
    <row r="158" customFormat="false" ht="15" hidden="false" customHeight="false" outlineLevel="0" collapsed="false">
      <c r="A158" s="2" t="n">
        <v>45304</v>
      </c>
      <c r="B158" s="3" t="s">
        <v>46</v>
      </c>
      <c r="C158" s="3" t="s">
        <v>43</v>
      </c>
      <c r="D158" s="3" t="s">
        <v>39</v>
      </c>
      <c r="E158" s="3" t="s">
        <v>38</v>
      </c>
      <c r="F158" s="3" t="s">
        <v>30</v>
      </c>
      <c r="G158" s="4" t="n">
        <v>40</v>
      </c>
      <c r="H158" s="5" t="n">
        <v>118.22</v>
      </c>
      <c r="I158" s="5" t="n">
        <f aca="false">G158*H158</f>
        <v>4728.8</v>
      </c>
      <c r="J158" s="5" t="n">
        <f aca="false">I158*0.463</f>
        <v>2189.4344</v>
      </c>
      <c r="K158" s="5" t="n">
        <f aca="false">I158-J158</f>
        <v>2539.3656</v>
      </c>
      <c r="L158" s="6" t="n">
        <f aca="false">IF(I158=0,0,K158/I158)</f>
        <v>0.537</v>
      </c>
    </row>
    <row r="159" customFormat="false" ht="15" hidden="false" customHeight="false" outlineLevel="0" collapsed="false">
      <c r="A159" s="2" t="n">
        <v>45624</v>
      </c>
      <c r="B159" s="3" t="s">
        <v>12</v>
      </c>
      <c r="C159" s="3" t="s">
        <v>35</v>
      </c>
      <c r="D159" s="3" t="s">
        <v>32</v>
      </c>
      <c r="E159" s="3" t="s">
        <v>41</v>
      </c>
      <c r="F159" s="3" t="s">
        <v>26</v>
      </c>
      <c r="G159" s="4" t="n">
        <v>8</v>
      </c>
      <c r="H159" s="5" t="n">
        <v>355.88</v>
      </c>
      <c r="I159" s="5" t="n">
        <f aca="false">G159*H159</f>
        <v>2847.04</v>
      </c>
      <c r="J159" s="5" t="n">
        <f aca="false">I159*0.639</f>
        <v>1819.25856</v>
      </c>
      <c r="K159" s="5" t="n">
        <f aca="false">I159-J159</f>
        <v>1027.78144</v>
      </c>
      <c r="L159" s="6" t="n">
        <f aca="false">IF(I159=0,0,K159/I159)</f>
        <v>0.361</v>
      </c>
    </row>
    <row r="160" customFormat="false" ht="15" hidden="false" customHeight="false" outlineLevel="0" collapsed="false">
      <c r="A160" s="2" t="n">
        <v>45351</v>
      </c>
      <c r="B160" s="3" t="s">
        <v>42</v>
      </c>
      <c r="C160" s="3" t="s">
        <v>43</v>
      </c>
      <c r="D160" s="3" t="s">
        <v>34</v>
      </c>
      <c r="E160" s="3" t="s">
        <v>15</v>
      </c>
      <c r="F160" s="3" t="s">
        <v>16</v>
      </c>
      <c r="G160" s="4" t="n">
        <v>16</v>
      </c>
      <c r="H160" s="5" t="n">
        <v>32.37</v>
      </c>
      <c r="I160" s="5" t="n">
        <f aca="false">G160*H160</f>
        <v>517.92</v>
      </c>
      <c r="J160" s="5" t="n">
        <f aca="false">I160*0.477</f>
        <v>247.04784</v>
      </c>
      <c r="K160" s="5" t="n">
        <f aca="false">I160-J160</f>
        <v>270.87216</v>
      </c>
      <c r="L160" s="6" t="n">
        <f aca="false">IF(I160=0,0,K160/I160)</f>
        <v>0.523</v>
      </c>
    </row>
    <row r="161" customFormat="false" ht="15" hidden="false" customHeight="false" outlineLevel="0" collapsed="false">
      <c r="A161" s="2" t="n">
        <v>45635</v>
      </c>
      <c r="B161" s="3" t="s">
        <v>17</v>
      </c>
      <c r="C161" s="3" t="s">
        <v>43</v>
      </c>
      <c r="D161" s="3" t="s">
        <v>14</v>
      </c>
      <c r="E161" s="3" t="s">
        <v>41</v>
      </c>
      <c r="F161" s="3" t="s">
        <v>26</v>
      </c>
      <c r="G161" s="4" t="n">
        <v>38</v>
      </c>
      <c r="H161" s="5" t="n">
        <v>428</v>
      </c>
      <c r="I161" s="5" t="n">
        <f aca="false">G161*H161</f>
        <v>16264</v>
      </c>
      <c r="J161" s="5" t="n">
        <f aca="false">I161*0.481</f>
        <v>7822.984</v>
      </c>
      <c r="K161" s="5" t="n">
        <f aca="false">I161-J161</f>
        <v>8441.016</v>
      </c>
      <c r="L161" s="6" t="n">
        <f aca="false">IF(I161=0,0,K161/I161)</f>
        <v>0.519</v>
      </c>
    </row>
    <row r="162" customFormat="false" ht="15" hidden="false" customHeight="false" outlineLevel="0" collapsed="false">
      <c r="A162" s="2" t="n">
        <v>45542</v>
      </c>
      <c r="B162" s="3" t="s">
        <v>19</v>
      </c>
      <c r="C162" s="3" t="s">
        <v>43</v>
      </c>
      <c r="D162" s="3" t="s">
        <v>32</v>
      </c>
      <c r="E162" s="3" t="s">
        <v>41</v>
      </c>
      <c r="F162" s="3" t="s">
        <v>26</v>
      </c>
      <c r="G162" s="4" t="n">
        <v>18</v>
      </c>
      <c r="H162" s="5" t="n">
        <v>343.07</v>
      </c>
      <c r="I162" s="5" t="n">
        <f aca="false">G162*H162</f>
        <v>6175.26</v>
      </c>
      <c r="J162" s="5" t="n">
        <f aca="false">I162*0.524</f>
        <v>3235.83624</v>
      </c>
      <c r="K162" s="5" t="n">
        <f aca="false">I162-J162</f>
        <v>2939.42376</v>
      </c>
      <c r="L162" s="6" t="n">
        <f aca="false">IF(I162=0,0,K162/I162)</f>
        <v>0.476</v>
      </c>
    </row>
    <row r="163" customFormat="false" ht="15" hidden="false" customHeight="false" outlineLevel="0" collapsed="false">
      <c r="A163" s="2" t="n">
        <v>45412</v>
      </c>
      <c r="B163" s="3" t="s">
        <v>24</v>
      </c>
      <c r="C163" s="3" t="s">
        <v>35</v>
      </c>
      <c r="D163" s="3" t="s">
        <v>44</v>
      </c>
      <c r="E163" s="3" t="s">
        <v>38</v>
      </c>
      <c r="F163" s="3" t="s">
        <v>30</v>
      </c>
      <c r="G163" s="4" t="n">
        <v>7</v>
      </c>
      <c r="H163" s="5" t="n">
        <v>147.61</v>
      </c>
      <c r="I163" s="5" t="n">
        <f aca="false">G163*H163</f>
        <v>1033.27</v>
      </c>
      <c r="J163" s="5" t="n">
        <f aca="false">I163*0.523</f>
        <v>540.40021</v>
      </c>
      <c r="K163" s="5" t="n">
        <f aca="false">I163-J163</f>
        <v>492.86979</v>
      </c>
      <c r="L163" s="6" t="n">
        <f aca="false">IF(I163=0,0,K163/I163)</f>
        <v>0.477</v>
      </c>
    </row>
    <row r="164" customFormat="false" ht="15" hidden="false" customHeight="false" outlineLevel="0" collapsed="false">
      <c r="A164" s="2" t="n">
        <v>45495</v>
      </c>
      <c r="B164" s="3" t="s">
        <v>31</v>
      </c>
      <c r="C164" s="3" t="s">
        <v>43</v>
      </c>
      <c r="D164" s="3" t="s">
        <v>14</v>
      </c>
      <c r="E164" s="3" t="s">
        <v>29</v>
      </c>
      <c r="F164" s="3" t="s">
        <v>30</v>
      </c>
      <c r="G164" s="4" t="n">
        <v>13</v>
      </c>
      <c r="H164" s="5" t="n">
        <v>51.32</v>
      </c>
      <c r="I164" s="5" t="n">
        <f aca="false">G164*H164</f>
        <v>667.16</v>
      </c>
      <c r="J164" s="5" t="n">
        <f aca="false">I164*0.64</f>
        <v>426.9824</v>
      </c>
      <c r="K164" s="5" t="n">
        <f aca="false">I164-J164</f>
        <v>240.1776</v>
      </c>
      <c r="L164" s="6" t="n">
        <f aca="false">IF(I164=0,0,K164/I164)</f>
        <v>0.36</v>
      </c>
    </row>
    <row r="165" customFormat="false" ht="15" hidden="false" customHeight="false" outlineLevel="0" collapsed="false">
      <c r="A165" s="2" t="n">
        <v>45631</v>
      </c>
      <c r="B165" s="3" t="s">
        <v>17</v>
      </c>
      <c r="C165" s="3" t="s">
        <v>28</v>
      </c>
      <c r="D165" s="3" t="s">
        <v>34</v>
      </c>
      <c r="E165" s="3" t="s">
        <v>36</v>
      </c>
      <c r="F165" s="3" t="s">
        <v>16</v>
      </c>
      <c r="G165" s="4" t="n">
        <v>42</v>
      </c>
      <c r="H165" s="5" t="n">
        <v>92.72</v>
      </c>
      <c r="I165" s="5" t="n">
        <f aca="false">G165*H165</f>
        <v>3894.24</v>
      </c>
      <c r="J165" s="5" t="n">
        <f aca="false">I165*0.644</f>
        <v>2507.89056</v>
      </c>
      <c r="K165" s="5" t="n">
        <f aca="false">I165-J165</f>
        <v>1386.34944</v>
      </c>
      <c r="L165" s="6" t="n">
        <f aca="false">IF(I165=0,0,K165/I165)</f>
        <v>0.356</v>
      </c>
    </row>
    <row r="166" customFormat="false" ht="15" hidden="false" customHeight="false" outlineLevel="0" collapsed="false">
      <c r="A166" s="2" t="n">
        <v>45416</v>
      </c>
      <c r="B166" s="3" t="s">
        <v>45</v>
      </c>
      <c r="C166" s="3" t="s">
        <v>20</v>
      </c>
      <c r="D166" s="3" t="s">
        <v>18</v>
      </c>
      <c r="E166" s="3" t="s">
        <v>47</v>
      </c>
      <c r="F166" s="3" t="s">
        <v>48</v>
      </c>
      <c r="G166" s="4" t="n">
        <v>37</v>
      </c>
      <c r="H166" s="5" t="n">
        <v>546.03</v>
      </c>
      <c r="I166" s="5" t="n">
        <f aca="false">G166*H166</f>
        <v>20203.11</v>
      </c>
      <c r="J166" s="5" t="n">
        <f aca="false">I166*0.616</f>
        <v>12445.11576</v>
      </c>
      <c r="K166" s="5" t="n">
        <f aca="false">I166-J166</f>
        <v>7757.99424</v>
      </c>
      <c r="L166" s="6" t="n">
        <f aca="false">IF(I166=0,0,K166/I166)</f>
        <v>0.384</v>
      </c>
    </row>
    <row r="167" customFormat="false" ht="15" hidden="false" customHeight="false" outlineLevel="0" collapsed="false">
      <c r="A167" s="2" t="n">
        <v>45592</v>
      </c>
      <c r="B167" s="3" t="s">
        <v>33</v>
      </c>
      <c r="C167" s="3" t="s">
        <v>20</v>
      </c>
      <c r="D167" s="3" t="s">
        <v>44</v>
      </c>
      <c r="E167" s="3" t="s">
        <v>36</v>
      </c>
      <c r="F167" s="3" t="s">
        <v>16</v>
      </c>
      <c r="G167" s="4" t="n">
        <v>15</v>
      </c>
      <c r="H167" s="5" t="n">
        <v>84.42</v>
      </c>
      <c r="I167" s="5" t="n">
        <f aca="false">G167*H167</f>
        <v>1266.3</v>
      </c>
      <c r="J167" s="5" t="n">
        <f aca="false">I167*0.48</f>
        <v>607.824</v>
      </c>
      <c r="K167" s="5" t="n">
        <f aca="false">I167-J167</f>
        <v>658.476</v>
      </c>
      <c r="L167" s="6" t="n">
        <f aca="false">IF(I167=0,0,K167/I167)</f>
        <v>0.52</v>
      </c>
    </row>
    <row r="168" customFormat="false" ht="15" hidden="false" customHeight="false" outlineLevel="0" collapsed="false">
      <c r="A168" s="2" t="n">
        <v>45433</v>
      </c>
      <c r="B168" s="3" t="s">
        <v>45</v>
      </c>
      <c r="C168" s="3" t="s">
        <v>28</v>
      </c>
      <c r="D168" s="3" t="s">
        <v>44</v>
      </c>
      <c r="E168" s="3" t="s">
        <v>47</v>
      </c>
      <c r="F168" s="3" t="s">
        <v>48</v>
      </c>
      <c r="G168" s="4" t="n">
        <v>9</v>
      </c>
      <c r="H168" s="5" t="n">
        <v>606.23</v>
      </c>
      <c r="I168" s="5" t="n">
        <f aca="false">G168*H168</f>
        <v>5456.07</v>
      </c>
      <c r="J168" s="5" t="n">
        <f aca="false">I168*0.61</f>
        <v>3328.2027</v>
      </c>
      <c r="K168" s="5" t="n">
        <f aca="false">I168-J168</f>
        <v>2127.8673</v>
      </c>
      <c r="L168" s="6" t="n">
        <f aca="false">IF(I168=0,0,K168/I168)</f>
        <v>0.39</v>
      </c>
    </row>
    <row r="169" customFormat="false" ht="15" hidden="false" customHeight="false" outlineLevel="0" collapsed="false">
      <c r="A169" s="2" t="n">
        <v>45359</v>
      </c>
      <c r="B169" s="3" t="s">
        <v>40</v>
      </c>
      <c r="C169" s="3" t="s">
        <v>35</v>
      </c>
      <c r="D169" s="3" t="s">
        <v>44</v>
      </c>
      <c r="E169" s="3" t="s">
        <v>22</v>
      </c>
      <c r="F169" s="3" t="s">
        <v>23</v>
      </c>
      <c r="G169" s="4" t="n">
        <v>23</v>
      </c>
      <c r="H169" s="5" t="n">
        <v>1412.01</v>
      </c>
      <c r="I169" s="5" t="n">
        <f aca="false">G169*H169</f>
        <v>32476.23</v>
      </c>
      <c r="J169" s="5" t="n">
        <f aca="false">I169*0.498</f>
        <v>16173.16254</v>
      </c>
      <c r="K169" s="5" t="n">
        <f aca="false">I169-J169</f>
        <v>16303.06746</v>
      </c>
      <c r="L169" s="6" t="n">
        <f aca="false">IF(I169=0,0,K169/I169)</f>
        <v>0.502</v>
      </c>
    </row>
    <row r="170" customFormat="false" ht="15" hidden="false" customHeight="false" outlineLevel="0" collapsed="false">
      <c r="A170" s="2" t="n">
        <v>45381</v>
      </c>
      <c r="B170" s="3" t="s">
        <v>40</v>
      </c>
      <c r="C170" s="3" t="s">
        <v>28</v>
      </c>
      <c r="D170" s="3" t="s">
        <v>14</v>
      </c>
      <c r="E170" s="3" t="s">
        <v>29</v>
      </c>
      <c r="F170" s="3" t="s">
        <v>30</v>
      </c>
      <c r="G170" s="4" t="n">
        <v>4</v>
      </c>
      <c r="H170" s="5" t="n">
        <v>39.96</v>
      </c>
      <c r="I170" s="5" t="n">
        <f aca="false">G170*H170</f>
        <v>159.84</v>
      </c>
      <c r="J170" s="5" t="n">
        <f aca="false">I170*0.534</f>
        <v>85.35456</v>
      </c>
      <c r="K170" s="5" t="n">
        <f aca="false">I170-J170</f>
        <v>74.48544</v>
      </c>
      <c r="L170" s="6" t="n">
        <f aca="false">IF(I170=0,0,K170/I170)</f>
        <v>0.466</v>
      </c>
    </row>
    <row r="171" customFormat="false" ht="15" hidden="false" customHeight="false" outlineLevel="0" collapsed="false">
      <c r="A171" s="2" t="n">
        <v>45535</v>
      </c>
      <c r="B171" s="3" t="s">
        <v>49</v>
      </c>
      <c r="C171" s="3" t="s">
        <v>43</v>
      </c>
      <c r="D171" s="3" t="s">
        <v>18</v>
      </c>
      <c r="E171" s="3" t="s">
        <v>25</v>
      </c>
      <c r="F171" s="3" t="s">
        <v>26</v>
      </c>
      <c r="G171" s="4" t="n">
        <v>50</v>
      </c>
      <c r="H171" s="5" t="n">
        <v>430.42</v>
      </c>
      <c r="I171" s="5" t="n">
        <f aca="false">G171*H171</f>
        <v>21521</v>
      </c>
      <c r="J171" s="5" t="n">
        <f aca="false">I171*0.569</f>
        <v>12245.449</v>
      </c>
      <c r="K171" s="5" t="n">
        <f aca="false">I171-J171</f>
        <v>9275.551</v>
      </c>
      <c r="L171" s="6" t="n">
        <f aca="false">IF(I171=0,0,K171/I171)</f>
        <v>0.431</v>
      </c>
    </row>
    <row r="172" customFormat="false" ht="15" hidden="false" customHeight="false" outlineLevel="0" collapsed="false">
      <c r="A172" s="2" t="n">
        <v>45606</v>
      </c>
      <c r="B172" s="3" t="s">
        <v>12</v>
      </c>
      <c r="C172" s="3" t="s">
        <v>20</v>
      </c>
      <c r="D172" s="3" t="s">
        <v>39</v>
      </c>
      <c r="E172" s="3" t="s">
        <v>22</v>
      </c>
      <c r="F172" s="3" t="s">
        <v>23</v>
      </c>
      <c r="G172" s="4" t="n">
        <v>47</v>
      </c>
      <c r="H172" s="5" t="n">
        <v>1409.37</v>
      </c>
      <c r="I172" s="5" t="n">
        <f aca="false">G172*H172</f>
        <v>66240.39</v>
      </c>
      <c r="J172" s="5" t="n">
        <f aca="false">I172*0.623</f>
        <v>41267.76297</v>
      </c>
      <c r="K172" s="5" t="n">
        <f aca="false">I172-J172</f>
        <v>24972.62703</v>
      </c>
      <c r="L172" s="6" t="n">
        <f aca="false">IF(I172=0,0,K172/I172)</f>
        <v>0.377</v>
      </c>
    </row>
    <row r="173" customFormat="false" ht="15" hidden="false" customHeight="false" outlineLevel="0" collapsed="false">
      <c r="A173" s="2" t="n">
        <v>45526</v>
      </c>
      <c r="B173" s="3" t="s">
        <v>49</v>
      </c>
      <c r="C173" s="3" t="s">
        <v>43</v>
      </c>
      <c r="D173" s="3" t="s">
        <v>14</v>
      </c>
      <c r="E173" s="3" t="s">
        <v>22</v>
      </c>
      <c r="F173" s="3" t="s">
        <v>23</v>
      </c>
      <c r="G173" s="4" t="n">
        <v>4</v>
      </c>
      <c r="H173" s="5" t="n">
        <v>1493.3</v>
      </c>
      <c r="I173" s="5" t="n">
        <f aca="false">G173*H173</f>
        <v>5973.2</v>
      </c>
      <c r="J173" s="5" t="n">
        <f aca="false">I173*0.619</f>
        <v>3697.4108</v>
      </c>
      <c r="K173" s="5" t="n">
        <f aca="false">I173-J173</f>
        <v>2275.7892</v>
      </c>
      <c r="L173" s="6" t="n">
        <f aca="false">IF(I173=0,0,K173/I173)</f>
        <v>0.381</v>
      </c>
    </row>
    <row r="174" customFormat="false" ht="15" hidden="false" customHeight="false" outlineLevel="0" collapsed="false">
      <c r="A174" s="2" t="n">
        <v>45543</v>
      </c>
      <c r="B174" s="3" t="s">
        <v>19</v>
      </c>
      <c r="C174" s="3" t="s">
        <v>13</v>
      </c>
      <c r="D174" s="3" t="s">
        <v>14</v>
      </c>
      <c r="E174" s="3" t="s">
        <v>25</v>
      </c>
      <c r="F174" s="3" t="s">
        <v>26</v>
      </c>
      <c r="G174" s="4" t="n">
        <v>5</v>
      </c>
      <c r="H174" s="5" t="n">
        <v>502.78</v>
      </c>
      <c r="I174" s="5" t="n">
        <f aca="false">G174*H174</f>
        <v>2513.9</v>
      </c>
      <c r="J174" s="5" t="n">
        <f aca="false">I174*0.514</f>
        <v>1292.1446</v>
      </c>
      <c r="K174" s="5" t="n">
        <f aca="false">I174-J174</f>
        <v>1221.7554</v>
      </c>
      <c r="L174" s="6" t="n">
        <f aca="false">IF(I174=0,0,K174/I174)</f>
        <v>0.486</v>
      </c>
    </row>
    <row r="175" customFormat="false" ht="15" hidden="false" customHeight="false" outlineLevel="0" collapsed="false">
      <c r="A175" s="2" t="n">
        <v>45356</v>
      </c>
      <c r="B175" s="3" t="s">
        <v>40</v>
      </c>
      <c r="C175" s="3" t="s">
        <v>35</v>
      </c>
      <c r="D175" s="3" t="s">
        <v>21</v>
      </c>
      <c r="E175" s="3" t="s">
        <v>29</v>
      </c>
      <c r="F175" s="3" t="s">
        <v>30</v>
      </c>
      <c r="G175" s="4" t="n">
        <v>40</v>
      </c>
      <c r="H175" s="5" t="n">
        <v>46.8</v>
      </c>
      <c r="I175" s="5" t="n">
        <f aca="false">G175*H175</f>
        <v>1872</v>
      </c>
      <c r="J175" s="5" t="n">
        <f aca="false">I175*0.56</f>
        <v>1048.32</v>
      </c>
      <c r="K175" s="5" t="n">
        <f aca="false">I175-J175</f>
        <v>823.68</v>
      </c>
      <c r="L175" s="6" t="n">
        <f aca="false">IF(I175=0,0,K175/I175)</f>
        <v>0.44</v>
      </c>
    </row>
    <row r="176" customFormat="false" ht="15" hidden="false" customHeight="false" outlineLevel="0" collapsed="false">
      <c r="A176" s="2" t="n">
        <v>45597</v>
      </c>
      <c r="B176" s="3" t="s">
        <v>12</v>
      </c>
      <c r="C176" s="3" t="s">
        <v>28</v>
      </c>
      <c r="D176" s="3" t="s">
        <v>18</v>
      </c>
      <c r="E176" s="3" t="s">
        <v>29</v>
      </c>
      <c r="F176" s="3" t="s">
        <v>30</v>
      </c>
      <c r="G176" s="4" t="n">
        <v>30</v>
      </c>
      <c r="H176" s="5" t="n">
        <v>45.07</v>
      </c>
      <c r="I176" s="5" t="n">
        <f aca="false">G176*H176</f>
        <v>1352.1</v>
      </c>
      <c r="J176" s="5" t="n">
        <f aca="false">I176*0.536</f>
        <v>724.7256</v>
      </c>
      <c r="K176" s="5" t="n">
        <f aca="false">I176-J176</f>
        <v>627.3744</v>
      </c>
      <c r="L176" s="6" t="n">
        <f aca="false">IF(I176=0,0,K176/I176)</f>
        <v>0.464</v>
      </c>
    </row>
    <row r="177" customFormat="false" ht="15" hidden="false" customHeight="false" outlineLevel="0" collapsed="false">
      <c r="A177" s="2" t="n">
        <v>45512</v>
      </c>
      <c r="B177" s="3" t="s">
        <v>49</v>
      </c>
      <c r="C177" s="3" t="s">
        <v>43</v>
      </c>
      <c r="D177" s="3" t="s">
        <v>21</v>
      </c>
      <c r="E177" s="3" t="s">
        <v>25</v>
      </c>
      <c r="F177" s="3" t="s">
        <v>26</v>
      </c>
      <c r="G177" s="4" t="n">
        <v>15</v>
      </c>
      <c r="H177" s="5" t="n">
        <v>437.39</v>
      </c>
      <c r="I177" s="5" t="n">
        <f aca="false">G177*H177</f>
        <v>6560.85</v>
      </c>
      <c r="J177" s="5" t="n">
        <f aca="false">I177*0.615</f>
        <v>4034.92275</v>
      </c>
      <c r="K177" s="5" t="n">
        <f aca="false">I177-J177</f>
        <v>2525.92725</v>
      </c>
      <c r="L177" s="6" t="n">
        <f aca="false">IF(I177=0,0,K177/I177)</f>
        <v>0.385</v>
      </c>
    </row>
    <row r="178" customFormat="false" ht="15" hidden="false" customHeight="false" outlineLevel="0" collapsed="false">
      <c r="A178" s="2" t="n">
        <v>45340</v>
      </c>
      <c r="B178" s="3" t="s">
        <v>42</v>
      </c>
      <c r="C178" s="3" t="s">
        <v>13</v>
      </c>
      <c r="D178" s="3" t="s">
        <v>32</v>
      </c>
      <c r="E178" s="3" t="s">
        <v>38</v>
      </c>
      <c r="F178" s="3" t="s">
        <v>30</v>
      </c>
      <c r="G178" s="4" t="n">
        <v>28</v>
      </c>
      <c r="H178" s="5" t="n">
        <v>121.74</v>
      </c>
      <c r="I178" s="5" t="n">
        <f aca="false">G178*H178</f>
        <v>3408.72</v>
      </c>
      <c r="J178" s="5" t="n">
        <f aca="false">I178*0.501</f>
        <v>1707.76872</v>
      </c>
      <c r="K178" s="5" t="n">
        <f aca="false">I178-J178</f>
        <v>1700.95128</v>
      </c>
      <c r="L178" s="6" t="n">
        <f aca="false">IF(I178=0,0,K178/I178)</f>
        <v>0.499</v>
      </c>
    </row>
    <row r="179" customFormat="false" ht="15" hidden="false" customHeight="false" outlineLevel="0" collapsed="false">
      <c r="A179" s="2" t="n">
        <v>45326</v>
      </c>
      <c r="B179" s="3" t="s">
        <v>42</v>
      </c>
      <c r="C179" s="3" t="s">
        <v>35</v>
      </c>
      <c r="D179" s="3" t="s">
        <v>37</v>
      </c>
      <c r="E179" s="3" t="s">
        <v>15</v>
      </c>
      <c r="F179" s="3" t="s">
        <v>16</v>
      </c>
      <c r="G179" s="4" t="n">
        <v>6</v>
      </c>
      <c r="H179" s="5" t="n">
        <v>25.46</v>
      </c>
      <c r="I179" s="5" t="n">
        <f aca="false">G179*H179</f>
        <v>152.76</v>
      </c>
      <c r="J179" s="5" t="n">
        <f aca="false">I179*0.469</f>
        <v>71.64444</v>
      </c>
      <c r="K179" s="5" t="n">
        <f aca="false">I179-J179</f>
        <v>81.11556</v>
      </c>
      <c r="L179" s="6" t="n">
        <f aca="false">IF(I179=0,0,K179/I179)</f>
        <v>0.531</v>
      </c>
    </row>
    <row r="180" customFormat="false" ht="15" hidden="false" customHeight="false" outlineLevel="0" collapsed="false">
      <c r="A180" s="2" t="n">
        <v>45576</v>
      </c>
      <c r="B180" s="3" t="s">
        <v>33</v>
      </c>
      <c r="C180" s="3" t="s">
        <v>28</v>
      </c>
      <c r="D180" s="3" t="s">
        <v>21</v>
      </c>
      <c r="E180" s="3" t="s">
        <v>22</v>
      </c>
      <c r="F180" s="3" t="s">
        <v>23</v>
      </c>
      <c r="G180" s="4" t="n">
        <v>38</v>
      </c>
      <c r="H180" s="5" t="n">
        <v>1476.95</v>
      </c>
      <c r="I180" s="5" t="n">
        <f aca="false">G180*H180</f>
        <v>56124.1</v>
      </c>
      <c r="J180" s="5" t="n">
        <f aca="false">I180*0.562</f>
        <v>31541.7442</v>
      </c>
      <c r="K180" s="5" t="n">
        <f aca="false">I180-J180</f>
        <v>24582.3558</v>
      </c>
      <c r="L180" s="6" t="n">
        <f aca="false">IF(I180=0,0,K180/I180)</f>
        <v>0.438</v>
      </c>
    </row>
    <row r="181" customFormat="false" ht="15" hidden="false" customHeight="false" outlineLevel="0" collapsed="false">
      <c r="A181" s="2" t="n">
        <v>45473</v>
      </c>
      <c r="B181" s="3" t="s">
        <v>27</v>
      </c>
      <c r="C181" s="3" t="s">
        <v>35</v>
      </c>
      <c r="D181" s="3" t="s">
        <v>34</v>
      </c>
      <c r="E181" s="3" t="s">
        <v>41</v>
      </c>
      <c r="F181" s="3" t="s">
        <v>26</v>
      </c>
      <c r="G181" s="4" t="n">
        <v>47</v>
      </c>
      <c r="H181" s="5" t="n">
        <v>345.31</v>
      </c>
      <c r="I181" s="5" t="n">
        <f aca="false">G181*H181</f>
        <v>16229.57</v>
      </c>
      <c r="J181" s="5" t="n">
        <f aca="false">I181*0.508</f>
        <v>8244.62156</v>
      </c>
      <c r="K181" s="5" t="n">
        <f aca="false">I181-J181</f>
        <v>7984.94844</v>
      </c>
      <c r="L181" s="6" t="n">
        <f aca="false">IF(I181=0,0,K181/I181)</f>
        <v>0.492</v>
      </c>
    </row>
    <row r="182" customFormat="false" ht="15" hidden="false" customHeight="false" outlineLevel="0" collapsed="false">
      <c r="A182" s="2" t="n">
        <v>45345</v>
      </c>
      <c r="B182" s="3" t="s">
        <v>42</v>
      </c>
      <c r="C182" s="3" t="s">
        <v>28</v>
      </c>
      <c r="D182" s="3" t="s">
        <v>34</v>
      </c>
      <c r="E182" s="3" t="s">
        <v>36</v>
      </c>
      <c r="F182" s="3" t="s">
        <v>16</v>
      </c>
      <c r="G182" s="4" t="n">
        <v>10</v>
      </c>
      <c r="H182" s="5" t="n">
        <v>93.18</v>
      </c>
      <c r="I182" s="5" t="n">
        <f aca="false">G182*H182</f>
        <v>931.8</v>
      </c>
      <c r="J182" s="5" t="n">
        <f aca="false">I182*0.495</f>
        <v>461.241</v>
      </c>
      <c r="K182" s="5" t="n">
        <f aca="false">I182-J182</f>
        <v>470.559</v>
      </c>
      <c r="L182" s="6" t="n">
        <f aca="false">IF(I182=0,0,K182/I182)</f>
        <v>0.505</v>
      </c>
    </row>
    <row r="183" customFormat="false" ht="15" hidden="false" customHeight="false" outlineLevel="0" collapsed="false">
      <c r="A183" s="2" t="n">
        <v>45576</v>
      </c>
      <c r="B183" s="3" t="s">
        <v>33</v>
      </c>
      <c r="C183" s="3" t="s">
        <v>43</v>
      </c>
      <c r="D183" s="3" t="s">
        <v>44</v>
      </c>
      <c r="E183" s="3" t="s">
        <v>38</v>
      </c>
      <c r="F183" s="3" t="s">
        <v>30</v>
      </c>
      <c r="G183" s="4" t="n">
        <v>8</v>
      </c>
      <c r="H183" s="5" t="n">
        <v>139.16</v>
      </c>
      <c r="I183" s="5" t="n">
        <f aca="false">G183*H183</f>
        <v>1113.28</v>
      </c>
      <c r="J183" s="5" t="n">
        <f aca="false">I183*0.565</f>
        <v>629.0032</v>
      </c>
      <c r="K183" s="5" t="n">
        <f aca="false">I183-J183</f>
        <v>484.2768</v>
      </c>
      <c r="L183" s="6" t="n">
        <f aca="false">IF(I183=0,0,K183/I183)</f>
        <v>0.435</v>
      </c>
    </row>
    <row r="184" customFormat="false" ht="15" hidden="false" customHeight="false" outlineLevel="0" collapsed="false">
      <c r="A184" s="2" t="n">
        <v>45603</v>
      </c>
      <c r="B184" s="3" t="s">
        <v>12</v>
      </c>
      <c r="C184" s="3" t="s">
        <v>35</v>
      </c>
      <c r="D184" s="3" t="s">
        <v>34</v>
      </c>
      <c r="E184" s="3" t="s">
        <v>29</v>
      </c>
      <c r="F184" s="3" t="s">
        <v>30</v>
      </c>
      <c r="G184" s="4" t="n">
        <v>2</v>
      </c>
      <c r="H184" s="5" t="n">
        <v>40.69</v>
      </c>
      <c r="I184" s="5" t="n">
        <f aca="false">G184*H184</f>
        <v>81.38</v>
      </c>
      <c r="J184" s="5" t="n">
        <f aca="false">I184*0.591</f>
        <v>48.09558</v>
      </c>
      <c r="K184" s="5" t="n">
        <f aca="false">I184-J184</f>
        <v>33.28442</v>
      </c>
      <c r="L184" s="6" t="n">
        <f aca="false">IF(I184=0,0,K184/I184)</f>
        <v>0.409</v>
      </c>
    </row>
    <row r="185" customFormat="false" ht="15" hidden="false" customHeight="false" outlineLevel="0" collapsed="false">
      <c r="A185" s="2" t="n">
        <v>45471</v>
      </c>
      <c r="B185" s="3" t="s">
        <v>27</v>
      </c>
      <c r="C185" s="3" t="s">
        <v>43</v>
      </c>
      <c r="D185" s="3" t="s">
        <v>14</v>
      </c>
      <c r="E185" s="3" t="s">
        <v>22</v>
      </c>
      <c r="F185" s="3" t="s">
        <v>23</v>
      </c>
      <c r="G185" s="4" t="n">
        <v>12</v>
      </c>
      <c r="H185" s="5" t="n">
        <v>1443.14</v>
      </c>
      <c r="I185" s="5" t="n">
        <f aca="false">G185*H185</f>
        <v>17317.68</v>
      </c>
      <c r="J185" s="5" t="n">
        <f aca="false">I185*0.563</f>
        <v>9749.85384</v>
      </c>
      <c r="K185" s="5" t="n">
        <f aca="false">I185-J185</f>
        <v>7567.82616</v>
      </c>
      <c r="L185" s="6" t="n">
        <f aca="false">IF(I185=0,0,K185/I185)</f>
        <v>0.437</v>
      </c>
    </row>
    <row r="186" customFormat="false" ht="15" hidden="false" customHeight="false" outlineLevel="0" collapsed="false">
      <c r="A186" s="2" t="n">
        <v>45364</v>
      </c>
      <c r="B186" s="3" t="s">
        <v>40</v>
      </c>
      <c r="C186" s="3" t="s">
        <v>43</v>
      </c>
      <c r="D186" s="3" t="s">
        <v>32</v>
      </c>
      <c r="E186" s="3" t="s">
        <v>22</v>
      </c>
      <c r="F186" s="3" t="s">
        <v>23</v>
      </c>
      <c r="G186" s="4" t="n">
        <v>6</v>
      </c>
      <c r="H186" s="5" t="n">
        <v>1394.91</v>
      </c>
      <c r="I186" s="5" t="n">
        <f aca="false">G186*H186</f>
        <v>8369.46</v>
      </c>
      <c r="J186" s="5" t="n">
        <f aca="false">I186*0.493</f>
        <v>4126.14378</v>
      </c>
      <c r="K186" s="5" t="n">
        <f aca="false">I186-J186</f>
        <v>4243.31622</v>
      </c>
      <c r="L186" s="6" t="n">
        <f aca="false">IF(I186=0,0,K186/I186)</f>
        <v>0.507</v>
      </c>
    </row>
    <row r="187" customFormat="false" ht="15" hidden="false" customHeight="false" outlineLevel="0" collapsed="false">
      <c r="A187" s="2" t="n">
        <v>45466</v>
      </c>
      <c r="B187" s="3" t="s">
        <v>27</v>
      </c>
      <c r="C187" s="3" t="s">
        <v>20</v>
      </c>
      <c r="D187" s="3" t="s">
        <v>14</v>
      </c>
      <c r="E187" s="3" t="s">
        <v>47</v>
      </c>
      <c r="F187" s="3" t="s">
        <v>48</v>
      </c>
      <c r="G187" s="4" t="n">
        <v>24</v>
      </c>
      <c r="H187" s="5" t="n">
        <v>565.15</v>
      </c>
      <c r="I187" s="5" t="n">
        <f aca="false">G187*H187</f>
        <v>13563.6</v>
      </c>
      <c r="J187" s="5" t="n">
        <f aca="false">I187*0.515</f>
        <v>6985.254</v>
      </c>
      <c r="K187" s="5" t="n">
        <f aca="false">I187-J187</f>
        <v>6578.346</v>
      </c>
      <c r="L187" s="6" t="n">
        <f aca="false">IF(I187=0,0,K187/I187)</f>
        <v>0.485</v>
      </c>
    </row>
    <row r="188" customFormat="false" ht="15" hidden="false" customHeight="false" outlineLevel="0" collapsed="false">
      <c r="A188" s="2" t="n">
        <v>45318</v>
      </c>
      <c r="B188" s="3" t="s">
        <v>46</v>
      </c>
      <c r="C188" s="3" t="s">
        <v>28</v>
      </c>
      <c r="D188" s="3" t="s">
        <v>39</v>
      </c>
      <c r="E188" s="3" t="s">
        <v>47</v>
      </c>
      <c r="F188" s="3" t="s">
        <v>48</v>
      </c>
      <c r="G188" s="4" t="n">
        <v>11</v>
      </c>
      <c r="H188" s="5" t="n">
        <v>644.72</v>
      </c>
      <c r="I188" s="5" t="n">
        <f aca="false">G188*H188</f>
        <v>7091.92</v>
      </c>
      <c r="J188" s="5" t="n">
        <f aca="false">I188*0.46</f>
        <v>3262.2832</v>
      </c>
      <c r="K188" s="5" t="n">
        <f aca="false">I188-J188</f>
        <v>3829.6368</v>
      </c>
      <c r="L188" s="6" t="n">
        <f aca="false">IF(I188=0,0,K188/I188)</f>
        <v>0.54</v>
      </c>
    </row>
    <row r="189" customFormat="false" ht="15" hidden="false" customHeight="false" outlineLevel="0" collapsed="false">
      <c r="A189" s="2" t="n">
        <v>45518</v>
      </c>
      <c r="B189" s="3" t="s">
        <v>49</v>
      </c>
      <c r="C189" s="3" t="s">
        <v>13</v>
      </c>
      <c r="D189" s="3" t="s">
        <v>14</v>
      </c>
      <c r="E189" s="3" t="s">
        <v>41</v>
      </c>
      <c r="F189" s="3" t="s">
        <v>26</v>
      </c>
      <c r="G189" s="4" t="n">
        <v>32</v>
      </c>
      <c r="H189" s="5" t="n">
        <v>411.82</v>
      </c>
      <c r="I189" s="5" t="n">
        <f aca="false">G189*H189</f>
        <v>13178.24</v>
      </c>
      <c r="J189" s="5" t="n">
        <f aca="false">I189*0.533</f>
        <v>7024.00192</v>
      </c>
      <c r="K189" s="5" t="n">
        <f aca="false">I189-J189</f>
        <v>6154.23808</v>
      </c>
      <c r="L189" s="6" t="n">
        <f aca="false">IF(I189=0,0,K189/I189)</f>
        <v>0.467</v>
      </c>
    </row>
    <row r="190" customFormat="false" ht="15" hidden="false" customHeight="false" outlineLevel="0" collapsed="false">
      <c r="A190" s="2" t="n">
        <v>45468</v>
      </c>
      <c r="B190" s="3" t="s">
        <v>27</v>
      </c>
      <c r="C190" s="3" t="s">
        <v>43</v>
      </c>
      <c r="D190" s="3" t="s">
        <v>39</v>
      </c>
      <c r="E190" s="3" t="s">
        <v>41</v>
      </c>
      <c r="F190" s="3" t="s">
        <v>26</v>
      </c>
      <c r="G190" s="4" t="n">
        <v>8</v>
      </c>
      <c r="H190" s="5" t="n">
        <v>373.05</v>
      </c>
      <c r="I190" s="5" t="n">
        <f aca="false">G190*H190</f>
        <v>2984.4</v>
      </c>
      <c r="J190" s="5" t="n">
        <f aca="false">I190*0.586</f>
        <v>1748.8584</v>
      </c>
      <c r="K190" s="5" t="n">
        <f aca="false">I190-J190</f>
        <v>1235.5416</v>
      </c>
      <c r="L190" s="6" t="n">
        <f aca="false">IF(I190=0,0,K190/I190)</f>
        <v>0.414</v>
      </c>
    </row>
    <row r="191" customFormat="false" ht="15" hidden="false" customHeight="false" outlineLevel="0" collapsed="false">
      <c r="A191" s="2" t="n">
        <v>45315</v>
      </c>
      <c r="B191" s="3" t="s">
        <v>46</v>
      </c>
      <c r="C191" s="3" t="s">
        <v>13</v>
      </c>
      <c r="D191" s="3" t="s">
        <v>39</v>
      </c>
      <c r="E191" s="3" t="s">
        <v>36</v>
      </c>
      <c r="F191" s="3" t="s">
        <v>16</v>
      </c>
      <c r="G191" s="4" t="n">
        <v>26</v>
      </c>
      <c r="H191" s="5" t="n">
        <v>101.93</v>
      </c>
      <c r="I191" s="5" t="n">
        <f aca="false">G191*H191</f>
        <v>2650.18</v>
      </c>
      <c r="J191" s="5" t="n">
        <f aca="false">I191*0.461</f>
        <v>1221.73298</v>
      </c>
      <c r="K191" s="5" t="n">
        <f aca="false">I191-J191</f>
        <v>1428.44702</v>
      </c>
      <c r="L191" s="6" t="n">
        <f aca="false">IF(I191=0,0,K191/I191)</f>
        <v>0.539</v>
      </c>
    </row>
    <row r="192" customFormat="false" ht="15" hidden="false" customHeight="false" outlineLevel="0" collapsed="false">
      <c r="A192" s="2" t="n">
        <v>45400</v>
      </c>
      <c r="B192" s="3" t="s">
        <v>24</v>
      </c>
      <c r="C192" s="3" t="s">
        <v>28</v>
      </c>
      <c r="D192" s="3" t="s">
        <v>32</v>
      </c>
      <c r="E192" s="3" t="s">
        <v>47</v>
      </c>
      <c r="F192" s="3" t="s">
        <v>48</v>
      </c>
      <c r="G192" s="4" t="n">
        <v>49</v>
      </c>
      <c r="H192" s="5" t="n">
        <v>555.07</v>
      </c>
      <c r="I192" s="5" t="n">
        <f aca="false">G192*H192</f>
        <v>27198.43</v>
      </c>
      <c r="J192" s="5" t="n">
        <f aca="false">I192*0.516</f>
        <v>14034.38988</v>
      </c>
      <c r="K192" s="5" t="n">
        <f aca="false">I192-J192</f>
        <v>13164.04012</v>
      </c>
      <c r="L192" s="6" t="n">
        <f aca="false">IF(I192=0,0,K192/I192)</f>
        <v>0.484</v>
      </c>
    </row>
    <row r="193" customFormat="false" ht="15" hidden="false" customHeight="false" outlineLevel="0" collapsed="false">
      <c r="A193" s="2" t="n">
        <v>45512</v>
      </c>
      <c r="B193" s="3" t="s">
        <v>49</v>
      </c>
      <c r="C193" s="3" t="s">
        <v>20</v>
      </c>
      <c r="D193" s="3" t="s">
        <v>34</v>
      </c>
      <c r="E193" s="3" t="s">
        <v>47</v>
      </c>
      <c r="F193" s="3" t="s">
        <v>48</v>
      </c>
      <c r="G193" s="4" t="n">
        <v>9</v>
      </c>
      <c r="H193" s="5" t="n">
        <v>577.47</v>
      </c>
      <c r="I193" s="5" t="n">
        <f aca="false">G193*H193</f>
        <v>5197.23</v>
      </c>
      <c r="J193" s="5" t="n">
        <f aca="false">I193*0.591</f>
        <v>3071.56293</v>
      </c>
      <c r="K193" s="5" t="n">
        <f aca="false">I193-J193</f>
        <v>2125.66707</v>
      </c>
      <c r="L193" s="6" t="n">
        <f aca="false">IF(I193=0,0,K193/I193)</f>
        <v>0.409</v>
      </c>
    </row>
    <row r="194" customFormat="false" ht="15" hidden="false" customHeight="false" outlineLevel="0" collapsed="false">
      <c r="A194" s="2" t="n">
        <v>45328</v>
      </c>
      <c r="B194" s="3" t="s">
        <v>42</v>
      </c>
      <c r="C194" s="3" t="s">
        <v>28</v>
      </c>
      <c r="D194" s="3" t="s">
        <v>34</v>
      </c>
      <c r="E194" s="3" t="s">
        <v>41</v>
      </c>
      <c r="F194" s="3" t="s">
        <v>26</v>
      </c>
      <c r="G194" s="4" t="n">
        <v>48</v>
      </c>
      <c r="H194" s="5" t="n">
        <v>344.21</v>
      </c>
      <c r="I194" s="5" t="n">
        <f aca="false">G194*H194</f>
        <v>16522.08</v>
      </c>
      <c r="J194" s="5" t="n">
        <f aca="false">I194*0.454</f>
        <v>7501.02432</v>
      </c>
      <c r="K194" s="5" t="n">
        <f aca="false">I194-J194</f>
        <v>9021.05568</v>
      </c>
      <c r="L194" s="6" t="n">
        <f aca="false">IF(I194=0,0,K194/I194)</f>
        <v>0.546</v>
      </c>
    </row>
    <row r="195" customFormat="false" ht="15" hidden="false" customHeight="false" outlineLevel="0" collapsed="false">
      <c r="A195" s="2" t="n">
        <v>45586</v>
      </c>
      <c r="B195" s="3" t="s">
        <v>33</v>
      </c>
      <c r="C195" s="3" t="s">
        <v>35</v>
      </c>
      <c r="D195" s="3" t="s">
        <v>14</v>
      </c>
      <c r="E195" s="3" t="s">
        <v>41</v>
      </c>
      <c r="F195" s="3" t="s">
        <v>26</v>
      </c>
      <c r="G195" s="4" t="n">
        <v>37</v>
      </c>
      <c r="H195" s="5" t="n">
        <v>387.56</v>
      </c>
      <c r="I195" s="5" t="n">
        <f aca="false">G195*H195</f>
        <v>14339.72</v>
      </c>
      <c r="J195" s="5" t="n">
        <f aca="false">I195*0.578</f>
        <v>8288.35816</v>
      </c>
      <c r="K195" s="5" t="n">
        <f aca="false">I195-J195</f>
        <v>6051.36184</v>
      </c>
      <c r="L195" s="6" t="n">
        <f aca="false">IF(I195=0,0,K195/I195)</f>
        <v>0.422</v>
      </c>
    </row>
    <row r="196" customFormat="false" ht="15" hidden="false" customHeight="false" outlineLevel="0" collapsed="false">
      <c r="A196" s="2" t="n">
        <v>45499</v>
      </c>
      <c r="B196" s="3" t="s">
        <v>31</v>
      </c>
      <c r="C196" s="3" t="s">
        <v>43</v>
      </c>
      <c r="D196" s="3" t="s">
        <v>34</v>
      </c>
      <c r="E196" s="3" t="s">
        <v>22</v>
      </c>
      <c r="F196" s="3" t="s">
        <v>23</v>
      </c>
      <c r="G196" s="4" t="n">
        <v>21</v>
      </c>
      <c r="H196" s="5" t="n">
        <v>1171.13</v>
      </c>
      <c r="I196" s="5" t="n">
        <f aca="false">G196*H196</f>
        <v>24593.73</v>
      </c>
      <c r="J196" s="5" t="n">
        <f aca="false">I196*0.64</f>
        <v>15739.9872</v>
      </c>
      <c r="K196" s="5" t="n">
        <f aca="false">I196-J196</f>
        <v>8853.7428</v>
      </c>
      <c r="L196" s="6" t="n">
        <f aca="false">IF(I196=0,0,K196/I196)</f>
        <v>0.36</v>
      </c>
    </row>
    <row r="197" customFormat="false" ht="15" hidden="false" customHeight="false" outlineLevel="0" collapsed="false">
      <c r="A197" s="2" t="n">
        <v>45337</v>
      </c>
      <c r="B197" s="3" t="s">
        <v>42</v>
      </c>
      <c r="C197" s="3" t="s">
        <v>20</v>
      </c>
      <c r="D197" s="3" t="s">
        <v>14</v>
      </c>
      <c r="E197" s="3" t="s">
        <v>41</v>
      </c>
      <c r="F197" s="3" t="s">
        <v>26</v>
      </c>
      <c r="G197" s="4" t="n">
        <v>7</v>
      </c>
      <c r="H197" s="5" t="n">
        <v>368.27</v>
      </c>
      <c r="I197" s="5" t="n">
        <f aca="false">G197*H197</f>
        <v>2577.89</v>
      </c>
      <c r="J197" s="5" t="n">
        <f aca="false">I197*0.568</f>
        <v>1464.24152</v>
      </c>
      <c r="K197" s="5" t="n">
        <f aca="false">I197-J197</f>
        <v>1113.64848</v>
      </c>
      <c r="L197" s="6" t="n">
        <f aca="false">IF(I197=0,0,K197/I197)</f>
        <v>0.432</v>
      </c>
    </row>
    <row r="198" customFormat="false" ht="15" hidden="false" customHeight="false" outlineLevel="0" collapsed="false">
      <c r="A198" s="2" t="n">
        <v>45494</v>
      </c>
      <c r="B198" s="3" t="s">
        <v>31</v>
      </c>
      <c r="C198" s="3" t="s">
        <v>13</v>
      </c>
      <c r="D198" s="3" t="s">
        <v>14</v>
      </c>
      <c r="E198" s="3" t="s">
        <v>29</v>
      </c>
      <c r="F198" s="3" t="s">
        <v>30</v>
      </c>
      <c r="G198" s="4" t="n">
        <v>48</v>
      </c>
      <c r="H198" s="5" t="n">
        <v>42.83</v>
      </c>
      <c r="I198" s="5" t="n">
        <f aca="false">G198*H198</f>
        <v>2055.84</v>
      </c>
      <c r="J198" s="5" t="n">
        <f aca="false">I198*0.517</f>
        <v>1062.86928</v>
      </c>
      <c r="K198" s="5" t="n">
        <f aca="false">I198-J198</f>
        <v>992.97072</v>
      </c>
      <c r="L198" s="6" t="n">
        <f aca="false">IF(I198=0,0,K198/I198)</f>
        <v>0.483</v>
      </c>
    </row>
    <row r="199" customFormat="false" ht="15" hidden="false" customHeight="false" outlineLevel="0" collapsed="false">
      <c r="A199" s="2" t="n">
        <v>45553</v>
      </c>
      <c r="B199" s="3" t="s">
        <v>19</v>
      </c>
      <c r="C199" s="3" t="s">
        <v>35</v>
      </c>
      <c r="D199" s="3" t="s">
        <v>34</v>
      </c>
      <c r="E199" s="3" t="s">
        <v>15</v>
      </c>
      <c r="F199" s="3" t="s">
        <v>16</v>
      </c>
      <c r="G199" s="4" t="n">
        <v>34</v>
      </c>
      <c r="H199" s="5" t="n">
        <v>29.09</v>
      </c>
      <c r="I199" s="5" t="n">
        <f aca="false">G199*H199</f>
        <v>989.06</v>
      </c>
      <c r="J199" s="5" t="n">
        <f aca="false">I199*0.631</f>
        <v>624.09686</v>
      </c>
      <c r="K199" s="5" t="n">
        <f aca="false">I199-J199</f>
        <v>364.96314</v>
      </c>
      <c r="L199" s="6" t="n">
        <f aca="false">IF(I199=0,0,K199/I199)</f>
        <v>0.369</v>
      </c>
    </row>
    <row r="200" customFormat="false" ht="15" hidden="false" customHeight="false" outlineLevel="0" collapsed="false">
      <c r="A200" s="2" t="n">
        <v>45622</v>
      </c>
      <c r="B200" s="3" t="s">
        <v>12</v>
      </c>
      <c r="C200" s="3" t="s">
        <v>13</v>
      </c>
      <c r="D200" s="3" t="s">
        <v>37</v>
      </c>
      <c r="E200" s="3" t="s">
        <v>47</v>
      </c>
      <c r="F200" s="3" t="s">
        <v>48</v>
      </c>
      <c r="G200" s="4" t="n">
        <v>16</v>
      </c>
      <c r="H200" s="5" t="n">
        <v>527.62</v>
      </c>
      <c r="I200" s="5" t="n">
        <f aca="false">G200*H200</f>
        <v>8441.92</v>
      </c>
      <c r="J200" s="5" t="n">
        <f aca="false">I200*0.501</f>
        <v>4229.40192</v>
      </c>
      <c r="K200" s="5" t="n">
        <f aca="false">I200-J200</f>
        <v>4212.51808</v>
      </c>
      <c r="L200" s="6" t="n">
        <f aca="false">IF(I200=0,0,K200/I200)</f>
        <v>0.499</v>
      </c>
    </row>
    <row r="201" customFormat="false" ht="15" hidden="false" customHeight="false" outlineLevel="0" collapsed="false">
      <c r="A201" s="2" t="n">
        <v>45627</v>
      </c>
      <c r="B201" s="3" t="s">
        <v>17</v>
      </c>
      <c r="C201" s="3" t="s">
        <v>43</v>
      </c>
      <c r="D201" s="3" t="s">
        <v>32</v>
      </c>
      <c r="E201" s="3" t="s">
        <v>15</v>
      </c>
      <c r="F201" s="3" t="s">
        <v>16</v>
      </c>
      <c r="G201" s="4" t="n">
        <v>12</v>
      </c>
      <c r="H201" s="5" t="n">
        <v>32.93</v>
      </c>
      <c r="I201" s="5" t="n">
        <f aca="false">G201*H201</f>
        <v>395.16</v>
      </c>
      <c r="J201" s="5" t="n">
        <f aca="false">I201*0.576</f>
        <v>227.61216</v>
      </c>
      <c r="K201" s="5" t="n">
        <f aca="false">I201-J201</f>
        <v>167.54784</v>
      </c>
      <c r="L201" s="6" t="n">
        <f aca="false">IF(I201=0,0,K201/I201)</f>
        <v>0.424</v>
      </c>
    </row>
    <row r="202" customFormat="false" ht="15" hidden="false" customHeight="false" outlineLevel="0" collapsed="false">
      <c r="A202" s="2" t="n">
        <v>45640</v>
      </c>
      <c r="B202" s="3" t="s">
        <v>17</v>
      </c>
      <c r="C202" s="3" t="s">
        <v>43</v>
      </c>
      <c r="D202" s="3" t="s">
        <v>32</v>
      </c>
      <c r="E202" s="3" t="s">
        <v>38</v>
      </c>
      <c r="F202" s="3" t="s">
        <v>30</v>
      </c>
      <c r="G202" s="4" t="n">
        <v>41</v>
      </c>
      <c r="H202" s="5" t="n">
        <v>121.88</v>
      </c>
      <c r="I202" s="5" t="n">
        <f aca="false">G202*H202</f>
        <v>4997.08</v>
      </c>
      <c r="J202" s="5" t="n">
        <f aca="false">I202*0.538</f>
        <v>2688.42904</v>
      </c>
      <c r="K202" s="5" t="n">
        <f aca="false">I202-J202</f>
        <v>2308.65096</v>
      </c>
      <c r="L202" s="6" t="n">
        <f aca="false">IF(I202=0,0,K202/I202)</f>
        <v>0.462</v>
      </c>
    </row>
    <row r="203" customFormat="false" ht="15" hidden="false" customHeight="false" outlineLevel="0" collapsed="false">
      <c r="A203" s="2" t="n">
        <v>45615</v>
      </c>
      <c r="B203" s="3" t="s">
        <v>12</v>
      </c>
      <c r="C203" s="3" t="s">
        <v>28</v>
      </c>
      <c r="D203" s="3" t="s">
        <v>39</v>
      </c>
      <c r="E203" s="3" t="s">
        <v>29</v>
      </c>
      <c r="F203" s="3" t="s">
        <v>30</v>
      </c>
      <c r="G203" s="4" t="n">
        <v>18</v>
      </c>
      <c r="H203" s="5" t="n">
        <v>46.23</v>
      </c>
      <c r="I203" s="5" t="n">
        <f aca="false">G203*H203</f>
        <v>832.14</v>
      </c>
      <c r="J203" s="5" t="n">
        <f aca="false">I203*0.52</f>
        <v>432.7128</v>
      </c>
      <c r="K203" s="5" t="n">
        <f aca="false">I203-J203</f>
        <v>399.4272</v>
      </c>
      <c r="L203" s="6" t="n">
        <f aca="false">IF(I203=0,0,K203/I203)</f>
        <v>0.48</v>
      </c>
    </row>
    <row r="204" customFormat="false" ht="15" hidden="false" customHeight="false" outlineLevel="0" collapsed="false">
      <c r="A204" s="2" t="n">
        <v>45528</v>
      </c>
      <c r="B204" s="3" t="s">
        <v>49</v>
      </c>
      <c r="C204" s="3" t="s">
        <v>28</v>
      </c>
      <c r="D204" s="3" t="s">
        <v>14</v>
      </c>
      <c r="E204" s="3" t="s">
        <v>25</v>
      </c>
      <c r="F204" s="3" t="s">
        <v>26</v>
      </c>
      <c r="G204" s="4" t="n">
        <v>3</v>
      </c>
      <c r="H204" s="5" t="n">
        <v>389.31</v>
      </c>
      <c r="I204" s="5" t="n">
        <f aca="false">G204*H204</f>
        <v>1167.93</v>
      </c>
      <c r="J204" s="5" t="n">
        <f aca="false">I204*0.616</f>
        <v>719.44488</v>
      </c>
      <c r="K204" s="5" t="n">
        <f aca="false">I204-J204</f>
        <v>448.48512</v>
      </c>
      <c r="L204" s="6" t="n">
        <f aca="false">IF(I204=0,0,K204/I204)</f>
        <v>0.384</v>
      </c>
    </row>
    <row r="205" customFormat="false" ht="15" hidden="false" customHeight="false" outlineLevel="0" collapsed="false">
      <c r="A205" s="2" t="n">
        <v>45606</v>
      </c>
      <c r="B205" s="3" t="s">
        <v>12</v>
      </c>
      <c r="C205" s="3" t="s">
        <v>28</v>
      </c>
      <c r="D205" s="3" t="s">
        <v>32</v>
      </c>
      <c r="E205" s="3" t="s">
        <v>41</v>
      </c>
      <c r="F205" s="3" t="s">
        <v>26</v>
      </c>
      <c r="G205" s="4" t="n">
        <v>30</v>
      </c>
      <c r="H205" s="5" t="n">
        <v>408.62</v>
      </c>
      <c r="I205" s="5" t="n">
        <f aca="false">G205*H205</f>
        <v>12258.6</v>
      </c>
      <c r="J205" s="5" t="n">
        <f aca="false">I205*0.641</f>
        <v>7857.7626</v>
      </c>
      <c r="K205" s="5" t="n">
        <f aca="false">I205-J205</f>
        <v>4400.8374</v>
      </c>
      <c r="L205" s="6" t="n">
        <f aca="false">IF(I205=0,0,K205/I205)</f>
        <v>0.359</v>
      </c>
    </row>
    <row r="206" customFormat="false" ht="15" hidden="false" customHeight="false" outlineLevel="0" collapsed="false">
      <c r="A206" s="2" t="n">
        <v>45584</v>
      </c>
      <c r="B206" s="3" t="s">
        <v>33</v>
      </c>
      <c r="C206" s="3" t="s">
        <v>28</v>
      </c>
      <c r="D206" s="3" t="s">
        <v>32</v>
      </c>
      <c r="E206" s="3" t="s">
        <v>36</v>
      </c>
      <c r="F206" s="3" t="s">
        <v>16</v>
      </c>
      <c r="G206" s="4" t="n">
        <v>21</v>
      </c>
      <c r="H206" s="5" t="n">
        <v>91.8</v>
      </c>
      <c r="I206" s="5" t="n">
        <f aca="false">G206*H206</f>
        <v>1927.8</v>
      </c>
      <c r="J206" s="5" t="n">
        <f aca="false">I206*0.55</f>
        <v>1060.29</v>
      </c>
      <c r="K206" s="5" t="n">
        <f aca="false">I206-J206</f>
        <v>867.51</v>
      </c>
      <c r="L206" s="6" t="n">
        <f aca="false">IF(I206=0,0,K206/I206)</f>
        <v>0.45</v>
      </c>
    </row>
    <row r="207" customFormat="false" ht="15" hidden="false" customHeight="false" outlineLevel="0" collapsed="false">
      <c r="A207" s="2" t="n">
        <v>45344</v>
      </c>
      <c r="B207" s="3" t="s">
        <v>42</v>
      </c>
      <c r="C207" s="3" t="s">
        <v>28</v>
      </c>
      <c r="D207" s="3" t="s">
        <v>18</v>
      </c>
      <c r="E207" s="3" t="s">
        <v>38</v>
      </c>
      <c r="F207" s="3" t="s">
        <v>30</v>
      </c>
      <c r="G207" s="4" t="n">
        <v>46</v>
      </c>
      <c r="H207" s="5" t="n">
        <v>112.91</v>
      </c>
      <c r="I207" s="5" t="n">
        <f aca="false">G207*H207</f>
        <v>5193.86</v>
      </c>
      <c r="J207" s="5" t="n">
        <f aca="false">I207*0.579</f>
        <v>3007.24494</v>
      </c>
      <c r="K207" s="5" t="n">
        <f aca="false">I207-J207</f>
        <v>2186.61506</v>
      </c>
      <c r="L207" s="6" t="n">
        <f aca="false">IF(I207=0,0,K207/I207)</f>
        <v>0.421</v>
      </c>
    </row>
    <row r="208" customFormat="false" ht="15" hidden="false" customHeight="false" outlineLevel="0" collapsed="false">
      <c r="A208" s="2" t="n">
        <v>45654</v>
      </c>
      <c r="B208" s="3" t="s">
        <v>17</v>
      </c>
      <c r="C208" s="3" t="s">
        <v>35</v>
      </c>
      <c r="D208" s="3" t="s">
        <v>34</v>
      </c>
      <c r="E208" s="3" t="s">
        <v>25</v>
      </c>
      <c r="F208" s="3" t="s">
        <v>26</v>
      </c>
      <c r="G208" s="4" t="n">
        <v>29</v>
      </c>
      <c r="H208" s="5" t="n">
        <v>452.24</v>
      </c>
      <c r="I208" s="5" t="n">
        <f aca="false">G208*H208</f>
        <v>13114.96</v>
      </c>
      <c r="J208" s="5" t="n">
        <f aca="false">I208*0.572</f>
        <v>7501.75712</v>
      </c>
      <c r="K208" s="5" t="n">
        <f aca="false">I208-J208</f>
        <v>5613.20288</v>
      </c>
      <c r="L208" s="6" t="n">
        <f aca="false">IF(I208=0,0,K208/I208)</f>
        <v>0.428</v>
      </c>
    </row>
    <row r="209" customFormat="false" ht="15" hidden="false" customHeight="false" outlineLevel="0" collapsed="false">
      <c r="A209" s="2" t="n">
        <v>45436</v>
      </c>
      <c r="B209" s="3" t="s">
        <v>45</v>
      </c>
      <c r="C209" s="3" t="s">
        <v>28</v>
      </c>
      <c r="D209" s="3" t="s">
        <v>34</v>
      </c>
      <c r="E209" s="3" t="s">
        <v>41</v>
      </c>
      <c r="F209" s="3" t="s">
        <v>26</v>
      </c>
      <c r="G209" s="4" t="n">
        <v>27</v>
      </c>
      <c r="H209" s="5" t="n">
        <v>431.85</v>
      </c>
      <c r="I209" s="5" t="n">
        <f aca="false">G209*H209</f>
        <v>11659.95</v>
      </c>
      <c r="J209" s="5" t="n">
        <f aca="false">I209*0.586</f>
        <v>6832.7307</v>
      </c>
      <c r="K209" s="5" t="n">
        <f aca="false">I209-J209</f>
        <v>4827.2193</v>
      </c>
      <c r="L209" s="6" t="n">
        <f aca="false">IF(I209=0,0,K209/I209)</f>
        <v>0.414</v>
      </c>
    </row>
    <row r="210" customFormat="false" ht="15" hidden="false" customHeight="false" outlineLevel="0" collapsed="false">
      <c r="A210" s="2" t="n">
        <v>45325</v>
      </c>
      <c r="B210" s="3" t="s">
        <v>42</v>
      </c>
      <c r="C210" s="3" t="s">
        <v>35</v>
      </c>
      <c r="D210" s="3" t="s">
        <v>37</v>
      </c>
      <c r="E210" s="3" t="s">
        <v>38</v>
      </c>
      <c r="F210" s="3" t="s">
        <v>30</v>
      </c>
      <c r="G210" s="4" t="n">
        <v>7</v>
      </c>
      <c r="H210" s="5" t="n">
        <v>131.24</v>
      </c>
      <c r="I210" s="5" t="n">
        <f aca="false">G210*H210</f>
        <v>918.68</v>
      </c>
      <c r="J210" s="5" t="n">
        <f aca="false">I210*0.527</f>
        <v>484.14436</v>
      </c>
      <c r="K210" s="5" t="n">
        <f aca="false">I210-J210</f>
        <v>434.53564</v>
      </c>
      <c r="L210" s="6" t="n">
        <f aca="false">IF(I210=0,0,K210/I210)</f>
        <v>0.473</v>
      </c>
    </row>
    <row r="211" customFormat="false" ht="15" hidden="false" customHeight="false" outlineLevel="0" collapsed="false">
      <c r="A211" s="2" t="n">
        <v>45462</v>
      </c>
      <c r="B211" s="3" t="s">
        <v>27</v>
      </c>
      <c r="C211" s="3" t="s">
        <v>35</v>
      </c>
      <c r="D211" s="3" t="s">
        <v>21</v>
      </c>
      <c r="E211" s="3" t="s">
        <v>15</v>
      </c>
      <c r="F211" s="3" t="s">
        <v>16</v>
      </c>
      <c r="G211" s="4" t="n">
        <v>38</v>
      </c>
      <c r="H211" s="5" t="n">
        <v>30.42</v>
      </c>
      <c r="I211" s="5" t="n">
        <f aca="false">G211*H211</f>
        <v>1155.96</v>
      </c>
      <c r="J211" s="5" t="n">
        <f aca="false">I211*0.633</f>
        <v>731.72268</v>
      </c>
      <c r="K211" s="5" t="n">
        <f aca="false">I211-J211</f>
        <v>424.23732</v>
      </c>
      <c r="L211" s="6" t="n">
        <f aca="false">IF(I211=0,0,K211/I211)</f>
        <v>0.367</v>
      </c>
    </row>
    <row r="212" customFormat="false" ht="15" hidden="false" customHeight="false" outlineLevel="0" collapsed="false">
      <c r="A212" s="2" t="n">
        <v>45358</v>
      </c>
      <c r="B212" s="3" t="s">
        <v>40</v>
      </c>
      <c r="C212" s="3" t="s">
        <v>35</v>
      </c>
      <c r="D212" s="3" t="s">
        <v>37</v>
      </c>
      <c r="E212" s="3" t="s">
        <v>15</v>
      </c>
      <c r="F212" s="3" t="s">
        <v>16</v>
      </c>
      <c r="G212" s="4" t="n">
        <v>20</v>
      </c>
      <c r="H212" s="5" t="n">
        <v>29.51</v>
      </c>
      <c r="I212" s="5" t="n">
        <f aca="false">G212*H212</f>
        <v>590.2</v>
      </c>
      <c r="J212" s="5" t="n">
        <f aca="false">I212*0.579</f>
        <v>341.7258</v>
      </c>
      <c r="K212" s="5" t="n">
        <f aca="false">I212-J212</f>
        <v>248.4742</v>
      </c>
      <c r="L212" s="6" t="n">
        <f aca="false">IF(I212=0,0,K212/I212)</f>
        <v>0.421</v>
      </c>
    </row>
    <row r="213" customFormat="false" ht="15" hidden="false" customHeight="false" outlineLevel="0" collapsed="false">
      <c r="A213" s="2" t="n">
        <v>45635</v>
      </c>
      <c r="B213" s="3" t="s">
        <v>17</v>
      </c>
      <c r="C213" s="3" t="s">
        <v>28</v>
      </c>
      <c r="D213" s="3" t="s">
        <v>34</v>
      </c>
      <c r="E213" s="3" t="s">
        <v>15</v>
      </c>
      <c r="F213" s="3" t="s">
        <v>16</v>
      </c>
      <c r="G213" s="4" t="n">
        <v>42</v>
      </c>
      <c r="H213" s="5" t="n">
        <v>30.48</v>
      </c>
      <c r="I213" s="5" t="n">
        <f aca="false">G213*H213</f>
        <v>1280.16</v>
      </c>
      <c r="J213" s="5" t="n">
        <f aca="false">I213*0.552</f>
        <v>706.64832</v>
      </c>
      <c r="K213" s="5" t="n">
        <f aca="false">I213-J213</f>
        <v>573.51168</v>
      </c>
      <c r="L213" s="6" t="n">
        <f aca="false">IF(I213=0,0,K213/I213)</f>
        <v>0.448</v>
      </c>
    </row>
    <row r="214" customFormat="false" ht="15" hidden="false" customHeight="false" outlineLevel="0" collapsed="false">
      <c r="A214" s="2" t="n">
        <v>45450</v>
      </c>
      <c r="B214" s="3" t="s">
        <v>27</v>
      </c>
      <c r="C214" s="3" t="s">
        <v>13</v>
      </c>
      <c r="D214" s="3" t="s">
        <v>18</v>
      </c>
      <c r="E214" s="3" t="s">
        <v>47</v>
      </c>
      <c r="F214" s="3" t="s">
        <v>48</v>
      </c>
      <c r="G214" s="4" t="n">
        <v>14</v>
      </c>
      <c r="H214" s="5" t="n">
        <v>570.56</v>
      </c>
      <c r="I214" s="5" t="n">
        <f aca="false">G214*H214</f>
        <v>7987.84</v>
      </c>
      <c r="J214" s="5" t="n">
        <f aca="false">I214*0.603</f>
        <v>4816.66752</v>
      </c>
      <c r="K214" s="5" t="n">
        <f aca="false">I214-J214</f>
        <v>3171.17248</v>
      </c>
      <c r="L214" s="6" t="n">
        <f aca="false">IF(I214=0,0,K214/I214)</f>
        <v>0.397</v>
      </c>
    </row>
    <row r="215" customFormat="false" ht="15" hidden="false" customHeight="false" outlineLevel="0" collapsed="false">
      <c r="A215" s="2" t="n">
        <v>45362</v>
      </c>
      <c r="B215" s="3" t="s">
        <v>40</v>
      </c>
      <c r="C215" s="3" t="s">
        <v>20</v>
      </c>
      <c r="D215" s="3" t="s">
        <v>44</v>
      </c>
      <c r="E215" s="3" t="s">
        <v>47</v>
      </c>
      <c r="F215" s="3" t="s">
        <v>48</v>
      </c>
      <c r="G215" s="4" t="n">
        <v>5</v>
      </c>
      <c r="H215" s="5" t="n">
        <v>562.3</v>
      </c>
      <c r="I215" s="5" t="n">
        <f aca="false">G215*H215</f>
        <v>2811.5</v>
      </c>
      <c r="J215" s="5" t="n">
        <f aca="false">I215*0.608</f>
        <v>1709.392</v>
      </c>
      <c r="K215" s="5" t="n">
        <f aca="false">I215-J215</f>
        <v>1102.108</v>
      </c>
      <c r="L215" s="6" t="n">
        <f aca="false">IF(I215=0,0,K215/I215)</f>
        <v>0.392</v>
      </c>
    </row>
    <row r="216" customFormat="false" ht="15" hidden="false" customHeight="false" outlineLevel="0" collapsed="false">
      <c r="A216" s="2" t="n">
        <v>45630</v>
      </c>
      <c r="B216" s="3" t="s">
        <v>17</v>
      </c>
      <c r="C216" s="3" t="s">
        <v>13</v>
      </c>
      <c r="D216" s="3" t="s">
        <v>37</v>
      </c>
      <c r="E216" s="3" t="s">
        <v>38</v>
      </c>
      <c r="F216" s="3" t="s">
        <v>30</v>
      </c>
      <c r="G216" s="4" t="n">
        <v>50</v>
      </c>
      <c r="H216" s="5" t="n">
        <v>133.57</v>
      </c>
      <c r="I216" s="5" t="n">
        <f aca="false">G216*H216</f>
        <v>6678.5</v>
      </c>
      <c r="J216" s="5" t="n">
        <f aca="false">I216*0.569</f>
        <v>3800.0665</v>
      </c>
      <c r="K216" s="5" t="n">
        <f aca="false">I216-J216</f>
        <v>2878.4335</v>
      </c>
      <c r="L216" s="6" t="n">
        <f aca="false">IF(I216=0,0,K216/I216)</f>
        <v>0.431</v>
      </c>
    </row>
    <row r="217" customFormat="false" ht="15" hidden="false" customHeight="false" outlineLevel="0" collapsed="false">
      <c r="A217" s="2" t="n">
        <v>45384</v>
      </c>
      <c r="B217" s="3" t="s">
        <v>24</v>
      </c>
      <c r="C217" s="3" t="s">
        <v>13</v>
      </c>
      <c r="D217" s="3" t="s">
        <v>32</v>
      </c>
      <c r="E217" s="3" t="s">
        <v>47</v>
      </c>
      <c r="F217" s="3" t="s">
        <v>48</v>
      </c>
      <c r="G217" s="4" t="n">
        <v>47</v>
      </c>
      <c r="H217" s="5" t="n">
        <v>587.8</v>
      </c>
      <c r="I217" s="5" t="n">
        <f aca="false">G217*H217</f>
        <v>27626.6</v>
      </c>
      <c r="J217" s="5" t="n">
        <f aca="false">I217*0.532</f>
        <v>14697.3512</v>
      </c>
      <c r="K217" s="5" t="n">
        <f aca="false">I217-J217</f>
        <v>12929.2488</v>
      </c>
      <c r="L217" s="6" t="n">
        <f aca="false">IF(I217=0,0,K217/I217)</f>
        <v>0.468</v>
      </c>
    </row>
    <row r="218" customFormat="false" ht="15" hidden="false" customHeight="false" outlineLevel="0" collapsed="false">
      <c r="A218" s="2" t="n">
        <v>45604</v>
      </c>
      <c r="B218" s="3" t="s">
        <v>12</v>
      </c>
      <c r="C218" s="3" t="s">
        <v>20</v>
      </c>
      <c r="D218" s="3" t="s">
        <v>18</v>
      </c>
      <c r="E218" s="3" t="s">
        <v>29</v>
      </c>
      <c r="F218" s="3" t="s">
        <v>30</v>
      </c>
      <c r="G218" s="4" t="n">
        <v>49</v>
      </c>
      <c r="H218" s="5" t="n">
        <v>48.36</v>
      </c>
      <c r="I218" s="5" t="n">
        <f aca="false">G218*H218</f>
        <v>2369.64</v>
      </c>
      <c r="J218" s="5" t="n">
        <f aca="false">I218*0.54</f>
        <v>1279.6056</v>
      </c>
      <c r="K218" s="5" t="n">
        <f aca="false">I218-J218</f>
        <v>1090.0344</v>
      </c>
      <c r="L218" s="6" t="n">
        <f aca="false">IF(I218=0,0,K218/I218)</f>
        <v>0.46</v>
      </c>
    </row>
    <row r="219" customFormat="false" ht="15" hidden="false" customHeight="false" outlineLevel="0" collapsed="false">
      <c r="A219" s="2" t="n">
        <v>45450</v>
      </c>
      <c r="B219" s="3" t="s">
        <v>27</v>
      </c>
      <c r="C219" s="3" t="s">
        <v>43</v>
      </c>
      <c r="D219" s="3" t="s">
        <v>32</v>
      </c>
      <c r="E219" s="3" t="s">
        <v>25</v>
      </c>
      <c r="F219" s="3" t="s">
        <v>26</v>
      </c>
      <c r="G219" s="4" t="n">
        <v>13</v>
      </c>
      <c r="H219" s="5" t="n">
        <v>431.2</v>
      </c>
      <c r="I219" s="5" t="n">
        <f aca="false">G219*H219</f>
        <v>5605.6</v>
      </c>
      <c r="J219" s="5" t="n">
        <f aca="false">I219*0.639</f>
        <v>3581.9784</v>
      </c>
      <c r="K219" s="5" t="n">
        <f aca="false">I219-J219</f>
        <v>2023.6216</v>
      </c>
      <c r="L219" s="6" t="n">
        <f aca="false">IF(I219=0,0,K219/I219)</f>
        <v>0.361</v>
      </c>
    </row>
    <row r="220" customFormat="false" ht="15" hidden="false" customHeight="false" outlineLevel="0" collapsed="false">
      <c r="A220" s="2" t="n">
        <v>45436</v>
      </c>
      <c r="B220" s="3" t="s">
        <v>45</v>
      </c>
      <c r="C220" s="3" t="s">
        <v>13</v>
      </c>
      <c r="D220" s="3" t="s">
        <v>37</v>
      </c>
      <c r="E220" s="3" t="s">
        <v>41</v>
      </c>
      <c r="F220" s="3" t="s">
        <v>26</v>
      </c>
      <c r="G220" s="4" t="n">
        <v>33</v>
      </c>
      <c r="H220" s="5" t="n">
        <v>402.29</v>
      </c>
      <c r="I220" s="5" t="n">
        <f aca="false">G220*H220</f>
        <v>13275.57</v>
      </c>
      <c r="J220" s="5" t="n">
        <f aca="false">I220*0.643</f>
        <v>8536.19151</v>
      </c>
      <c r="K220" s="5" t="n">
        <f aca="false">I220-J220</f>
        <v>4739.37849</v>
      </c>
      <c r="L220" s="6" t="n">
        <f aca="false">IF(I220=0,0,K220/I220)</f>
        <v>0.357</v>
      </c>
    </row>
    <row r="221" customFormat="false" ht="15" hidden="false" customHeight="false" outlineLevel="0" collapsed="false">
      <c r="A221" s="2" t="n">
        <v>45420</v>
      </c>
      <c r="B221" s="3" t="s">
        <v>45</v>
      </c>
      <c r="C221" s="3" t="s">
        <v>28</v>
      </c>
      <c r="D221" s="3" t="s">
        <v>14</v>
      </c>
      <c r="E221" s="3" t="s">
        <v>22</v>
      </c>
      <c r="F221" s="3" t="s">
        <v>23</v>
      </c>
      <c r="G221" s="4" t="n">
        <v>42</v>
      </c>
      <c r="H221" s="5" t="n">
        <v>1291.44</v>
      </c>
      <c r="I221" s="5" t="n">
        <f aca="false">G221*H221</f>
        <v>54240.48</v>
      </c>
      <c r="J221" s="5" t="n">
        <f aca="false">I221*0.524</f>
        <v>28422.01152</v>
      </c>
      <c r="K221" s="5" t="n">
        <f aca="false">I221-J221</f>
        <v>25818.46848</v>
      </c>
      <c r="L221" s="6" t="n">
        <f aca="false">IF(I221=0,0,K221/I221)</f>
        <v>0.476</v>
      </c>
    </row>
    <row r="222" customFormat="false" ht="15" hidden="false" customHeight="false" outlineLevel="0" collapsed="false">
      <c r="A222" s="2" t="n">
        <v>45437</v>
      </c>
      <c r="B222" s="3" t="s">
        <v>45</v>
      </c>
      <c r="C222" s="3" t="s">
        <v>20</v>
      </c>
      <c r="D222" s="3" t="s">
        <v>37</v>
      </c>
      <c r="E222" s="3" t="s">
        <v>15</v>
      </c>
      <c r="F222" s="3" t="s">
        <v>16</v>
      </c>
      <c r="G222" s="4" t="n">
        <v>49</v>
      </c>
      <c r="H222" s="5" t="n">
        <v>26.04</v>
      </c>
      <c r="I222" s="5" t="n">
        <f aca="false">G222*H222</f>
        <v>1275.96</v>
      </c>
      <c r="J222" s="5" t="n">
        <f aca="false">I222*0.54</f>
        <v>689.0184</v>
      </c>
      <c r="K222" s="5" t="n">
        <f aca="false">I222-J222</f>
        <v>586.9416</v>
      </c>
      <c r="L222" s="6" t="n">
        <f aca="false">IF(I222=0,0,K222/I222)</f>
        <v>0.46</v>
      </c>
    </row>
    <row r="223" customFormat="false" ht="15" hidden="false" customHeight="false" outlineLevel="0" collapsed="false">
      <c r="A223" s="2" t="n">
        <v>45515</v>
      </c>
      <c r="B223" s="3" t="s">
        <v>49</v>
      </c>
      <c r="C223" s="3" t="s">
        <v>28</v>
      </c>
      <c r="D223" s="3" t="s">
        <v>21</v>
      </c>
      <c r="E223" s="3" t="s">
        <v>15</v>
      </c>
      <c r="F223" s="3" t="s">
        <v>16</v>
      </c>
      <c r="G223" s="4" t="n">
        <v>15</v>
      </c>
      <c r="H223" s="5" t="n">
        <v>31.76</v>
      </c>
      <c r="I223" s="5" t="n">
        <f aca="false">G223*H223</f>
        <v>476.4</v>
      </c>
      <c r="J223" s="5" t="n">
        <f aca="false">I223*0.627</f>
        <v>298.7028</v>
      </c>
      <c r="K223" s="5" t="n">
        <f aca="false">I223-J223</f>
        <v>177.6972</v>
      </c>
      <c r="L223" s="6" t="n">
        <f aca="false">IF(I223=0,0,K223/I223)</f>
        <v>0.373</v>
      </c>
    </row>
    <row r="224" customFormat="false" ht="15" hidden="false" customHeight="false" outlineLevel="0" collapsed="false">
      <c r="A224" s="2" t="n">
        <v>45319</v>
      </c>
      <c r="B224" s="3" t="s">
        <v>46</v>
      </c>
      <c r="C224" s="3" t="s">
        <v>28</v>
      </c>
      <c r="D224" s="3" t="s">
        <v>34</v>
      </c>
      <c r="E224" s="3" t="s">
        <v>41</v>
      </c>
      <c r="F224" s="3" t="s">
        <v>26</v>
      </c>
      <c r="G224" s="4" t="n">
        <v>33</v>
      </c>
      <c r="H224" s="5" t="n">
        <v>383.91</v>
      </c>
      <c r="I224" s="5" t="n">
        <f aca="false">G224*H224</f>
        <v>12669.03</v>
      </c>
      <c r="J224" s="5" t="n">
        <f aca="false">I224*0.527</f>
        <v>6676.57881</v>
      </c>
      <c r="K224" s="5" t="n">
        <f aca="false">I224-J224</f>
        <v>5992.45119</v>
      </c>
      <c r="L224" s="6" t="n">
        <f aca="false">IF(I224=0,0,K224/I224)</f>
        <v>0.473</v>
      </c>
    </row>
    <row r="225" customFormat="false" ht="15" hidden="false" customHeight="false" outlineLevel="0" collapsed="false">
      <c r="A225" s="2" t="n">
        <v>45406</v>
      </c>
      <c r="B225" s="3" t="s">
        <v>24</v>
      </c>
      <c r="C225" s="3" t="s">
        <v>35</v>
      </c>
      <c r="D225" s="3" t="s">
        <v>37</v>
      </c>
      <c r="E225" s="3" t="s">
        <v>22</v>
      </c>
      <c r="F225" s="3" t="s">
        <v>23</v>
      </c>
      <c r="G225" s="4" t="n">
        <v>21</v>
      </c>
      <c r="H225" s="5" t="n">
        <v>1466.89</v>
      </c>
      <c r="I225" s="5" t="n">
        <f aca="false">G225*H225</f>
        <v>30804.69</v>
      </c>
      <c r="J225" s="5" t="n">
        <f aca="false">I225*0.618</f>
        <v>19037.29842</v>
      </c>
      <c r="K225" s="5" t="n">
        <f aca="false">I225-J225</f>
        <v>11767.39158</v>
      </c>
      <c r="L225" s="6" t="n">
        <f aca="false">IF(I225=0,0,K225/I225)</f>
        <v>0.382</v>
      </c>
    </row>
    <row r="226" customFormat="false" ht="15" hidden="false" customHeight="false" outlineLevel="0" collapsed="false">
      <c r="A226" s="2" t="n">
        <v>45362</v>
      </c>
      <c r="B226" s="3" t="s">
        <v>40</v>
      </c>
      <c r="C226" s="3" t="s">
        <v>13</v>
      </c>
      <c r="D226" s="3" t="s">
        <v>32</v>
      </c>
      <c r="E226" s="3" t="s">
        <v>22</v>
      </c>
      <c r="F226" s="3" t="s">
        <v>23</v>
      </c>
      <c r="G226" s="4" t="n">
        <v>19</v>
      </c>
      <c r="H226" s="5" t="n">
        <v>1461.66</v>
      </c>
      <c r="I226" s="5" t="n">
        <f aca="false">G226*H226</f>
        <v>27771.54</v>
      </c>
      <c r="J226" s="5" t="n">
        <f aca="false">I226*0.544</f>
        <v>15107.71776</v>
      </c>
      <c r="K226" s="5" t="n">
        <f aca="false">I226-J226</f>
        <v>12663.82224</v>
      </c>
      <c r="L226" s="6" t="n">
        <f aca="false">IF(I226=0,0,K226/I226)</f>
        <v>0.456</v>
      </c>
    </row>
    <row r="227" customFormat="false" ht="15" hidden="false" customHeight="false" outlineLevel="0" collapsed="false">
      <c r="A227" s="2" t="n">
        <v>45521</v>
      </c>
      <c r="B227" s="3" t="s">
        <v>49</v>
      </c>
      <c r="C227" s="3" t="s">
        <v>13</v>
      </c>
      <c r="D227" s="3" t="s">
        <v>21</v>
      </c>
      <c r="E227" s="3" t="s">
        <v>22</v>
      </c>
      <c r="F227" s="3" t="s">
        <v>23</v>
      </c>
      <c r="G227" s="4" t="n">
        <v>6</v>
      </c>
      <c r="H227" s="5" t="n">
        <v>1111.56</v>
      </c>
      <c r="I227" s="5" t="n">
        <f aca="false">G227*H227</f>
        <v>6669.36</v>
      </c>
      <c r="J227" s="5" t="n">
        <f aca="false">I227*0.493</f>
        <v>3287.99448</v>
      </c>
      <c r="K227" s="5" t="n">
        <f aca="false">I227-J227</f>
        <v>3381.36552</v>
      </c>
      <c r="L227" s="6" t="n">
        <f aca="false">IF(I227=0,0,K227/I227)</f>
        <v>0.507</v>
      </c>
    </row>
    <row r="228" customFormat="false" ht="15" hidden="false" customHeight="false" outlineLevel="0" collapsed="false">
      <c r="A228" s="2" t="n">
        <v>45348</v>
      </c>
      <c r="B228" s="3" t="s">
        <v>42</v>
      </c>
      <c r="C228" s="3" t="s">
        <v>43</v>
      </c>
      <c r="D228" s="3" t="s">
        <v>32</v>
      </c>
      <c r="E228" s="3" t="s">
        <v>29</v>
      </c>
      <c r="F228" s="3" t="s">
        <v>30</v>
      </c>
      <c r="G228" s="4" t="n">
        <v>16</v>
      </c>
      <c r="H228" s="5" t="n">
        <v>42.32</v>
      </c>
      <c r="I228" s="5" t="n">
        <f aca="false">G228*H228</f>
        <v>677.12</v>
      </c>
      <c r="J228" s="5" t="n">
        <f aca="false">I228*0.46</f>
        <v>311.4752</v>
      </c>
      <c r="K228" s="5" t="n">
        <f aca="false">I228-J228</f>
        <v>365.6448</v>
      </c>
      <c r="L228" s="6" t="n">
        <f aca="false">IF(I228=0,0,K228/I228)</f>
        <v>0.54</v>
      </c>
    </row>
    <row r="229" customFormat="false" ht="15" hidden="false" customHeight="false" outlineLevel="0" collapsed="false">
      <c r="A229" s="2" t="n">
        <v>45324</v>
      </c>
      <c r="B229" s="3" t="s">
        <v>42</v>
      </c>
      <c r="C229" s="3" t="s">
        <v>20</v>
      </c>
      <c r="D229" s="3" t="s">
        <v>18</v>
      </c>
      <c r="E229" s="3" t="s">
        <v>15</v>
      </c>
      <c r="F229" s="3" t="s">
        <v>16</v>
      </c>
      <c r="G229" s="4" t="n">
        <v>32</v>
      </c>
      <c r="H229" s="5" t="n">
        <v>29.84</v>
      </c>
      <c r="I229" s="5" t="n">
        <f aca="false">G229*H229</f>
        <v>954.88</v>
      </c>
      <c r="J229" s="5" t="n">
        <f aca="false">I229*0.453</f>
        <v>432.56064</v>
      </c>
      <c r="K229" s="5" t="n">
        <f aca="false">I229-J229</f>
        <v>522.31936</v>
      </c>
      <c r="L229" s="6" t="n">
        <f aca="false">IF(I229=0,0,K229/I229)</f>
        <v>0.547</v>
      </c>
    </row>
    <row r="230" customFormat="false" ht="15" hidden="false" customHeight="false" outlineLevel="0" collapsed="false">
      <c r="A230" s="2" t="n">
        <v>45365</v>
      </c>
      <c r="B230" s="3" t="s">
        <v>40</v>
      </c>
      <c r="C230" s="3" t="s">
        <v>20</v>
      </c>
      <c r="D230" s="3" t="s">
        <v>21</v>
      </c>
      <c r="E230" s="3" t="s">
        <v>29</v>
      </c>
      <c r="F230" s="3" t="s">
        <v>30</v>
      </c>
      <c r="G230" s="4" t="n">
        <v>28</v>
      </c>
      <c r="H230" s="5" t="n">
        <v>38.27</v>
      </c>
      <c r="I230" s="5" t="n">
        <f aca="false">G230*H230</f>
        <v>1071.56</v>
      </c>
      <c r="J230" s="5" t="n">
        <f aca="false">I230*0.521</f>
        <v>558.28276</v>
      </c>
      <c r="K230" s="5" t="n">
        <f aca="false">I230-J230</f>
        <v>513.27724</v>
      </c>
      <c r="L230" s="6" t="n">
        <f aca="false">IF(I230=0,0,K230/I230)</f>
        <v>0.479</v>
      </c>
    </row>
    <row r="231" customFormat="false" ht="15" hidden="false" customHeight="false" outlineLevel="0" collapsed="false">
      <c r="A231" s="2" t="n">
        <v>45387</v>
      </c>
      <c r="B231" s="3" t="s">
        <v>24</v>
      </c>
      <c r="C231" s="3" t="s">
        <v>20</v>
      </c>
      <c r="D231" s="3" t="s">
        <v>44</v>
      </c>
      <c r="E231" s="3" t="s">
        <v>15</v>
      </c>
      <c r="F231" s="3" t="s">
        <v>16</v>
      </c>
      <c r="G231" s="4" t="n">
        <v>34</v>
      </c>
      <c r="H231" s="5" t="n">
        <v>33.13</v>
      </c>
      <c r="I231" s="5" t="n">
        <f aca="false">G231*H231</f>
        <v>1126.42</v>
      </c>
      <c r="J231" s="5" t="n">
        <f aca="false">I231*0.464</f>
        <v>522.65888</v>
      </c>
      <c r="K231" s="5" t="n">
        <f aca="false">I231-J231</f>
        <v>603.76112</v>
      </c>
      <c r="L231" s="6" t="n">
        <f aca="false">IF(I231=0,0,K231/I231)</f>
        <v>0.536</v>
      </c>
    </row>
    <row r="232" customFormat="false" ht="15" hidden="false" customHeight="false" outlineLevel="0" collapsed="false">
      <c r="A232" s="2" t="n">
        <v>45491</v>
      </c>
      <c r="B232" s="3" t="s">
        <v>31</v>
      </c>
      <c r="C232" s="3" t="s">
        <v>35</v>
      </c>
      <c r="D232" s="3" t="s">
        <v>44</v>
      </c>
      <c r="E232" s="3" t="s">
        <v>25</v>
      </c>
      <c r="F232" s="3" t="s">
        <v>26</v>
      </c>
      <c r="G232" s="4" t="n">
        <v>3</v>
      </c>
      <c r="H232" s="5" t="n">
        <v>467.27</v>
      </c>
      <c r="I232" s="5" t="n">
        <f aca="false">G232*H232</f>
        <v>1401.81</v>
      </c>
      <c r="J232" s="5" t="n">
        <f aca="false">I232*0.646</f>
        <v>905.56926</v>
      </c>
      <c r="K232" s="5" t="n">
        <f aca="false">I232-J232</f>
        <v>496.24074</v>
      </c>
      <c r="L232" s="6" t="n">
        <f aca="false">IF(I232=0,0,K232/I232)</f>
        <v>0.354</v>
      </c>
    </row>
    <row r="233" customFormat="false" ht="15" hidden="false" customHeight="false" outlineLevel="0" collapsed="false">
      <c r="A233" s="2" t="n">
        <v>45474</v>
      </c>
      <c r="B233" s="3" t="s">
        <v>31</v>
      </c>
      <c r="C233" s="3" t="s">
        <v>28</v>
      </c>
      <c r="D233" s="3" t="s">
        <v>34</v>
      </c>
      <c r="E233" s="3" t="s">
        <v>15</v>
      </c>
      <c r="F233" s="3" t="s">
        <v>16</v>
      </c>
      <c r="G233" s="4" t="n">
        <v>23</v>
      </c>
      <c r="H233" s="5" t="n">
        <v>26.75</v>
      </c>
      <c r="I233" s="5" t="n">
        <f aca="false">G233*H233</f>
        <v>615.25</v>
      </c>
      <c r="J233" s="5" t="n">
        <f aca="false">I233*0.581</f>
        <v>357.46025</v>
      </c>
      <c r="K233" s="5" t="n">
        <f aca="false">I233-J233</f>
        <v>257.78975</v>
      </c>
      <c r="L233" s="6" t="n">
        <f aca="false">IF(I233=0,0,K233/I233)</f>
        <v>0.419</v>
      </c>
    </row>
    <row r="234" customFormat="false" ht="15" hidden="false" customHeight="false" outlineLevel="0" collapsed="false">
      <c r="A234" s="2" t="n">
        <v>45360</v>
      </c>
      <c r="B234" s="3" t="s">
        <v>40</v>
      </c>
      <c r="C234" s="3" t="s">
        <v>13</v>
      </c>
      <c r="D234" s="3" t="s">
        <v>32</v>
      </c>
      <c r="E234" s="3" t="s">
        <v>22</v>
      </c>
      <c r="F234" s="3" t="s">
        <v>23</v>
      </c>
      <c r="G234" s="4" t="n">
        <v>23</v>
      </c>
      <c r="H234" s="5" t="n">
        <v>1316.93</v>
      </c>
      <c r="I234" s="5" t="n">
        <f aca="false">G234*H234</f>
        <v>30289.39</v>
      </c>
      <c r="J234" s="5" t="n">
        <f aca="false">I234*0.613</f>
        <v>18567.39607</v>
      </c>
      <c r="K234" s="5" t="n">
        <f aca="false">I234-J234</f>
        <v>11721.99393</v>
      </c>
      <c r="L234" s="6" t="n">
        <f aca="false">IF(I234=0,0,K234/I234)</f>
        <v>0.387</v>
      </c>
    </row>
    <row r="235" customFormat="false" ht="15" hidden="false" customHeight="false" outlineLevel="0" collapsed="false">
      <c r="A235" s="2" t="n">
        <v>45648</v>
      </c>
      <c r="B235" s="3" t="s">
        <v>17</v>
      </c>
      <c r="C235" s="3" t="s">
        <v>43</v>
      </c>
      <c r="D235" s="3" t="s">
        <v>44</v>
      </c>
      <c r="E235" s="3" t="s">
        <v>25</v>
      </c>
      <c r="F235" s="3" t="s">
        <v>26</v>
      </c>
      <c r="G235" s="4" t="n">
        <v>41</v>
      </c>
      <c r="H235" s="5" t="n">
        <v>406.2</v>
      </c>
      <c r="I235" s="5" t="n">
        <f aca="false">G235*H235</f>
        <v>16654.2</v>
      </c>
      <c r="J235" s="5" t="n">
        <f aca="false">I235*0.477</f>
        <v>7944.0534</v>
      </c>
      <c r="K235" s="5" t="n">
        <f aca="false">I235-J235</f>
        <v>8710.1466</v>
      </c>
      <c r="L235" s="6" t="n">
        <f aca="false">IF(I235=0,0,K235/I235)</f>
        <v>0.523</v>
      </c>
    </row>
    <row r="236" customFormat="false" ht="15" hidden="false" customHeight="false" outlineLevel="0" collapsed="false">
      <c r="A236" s="2" t="n">
        <v>45442</v>
      </c>
      <c r="B236" s="3" t="s">
        <v>45</v>
      </c>
      <c r="C236" s="3" t="s">
        <v>35</v>
      </c>
      <c r="D236" s="3" t="s">
        <v>39</v>
      </c>
      <c r="E236" s="3" t="s">
        <v>36</v>
      </c>
      <c r="F236" s="3" t="s">
        <v>16</v>
      </c>
      <c r="G236" s="4" t="n">
        <v>3</v>
      </c>
      <c r="H236" s="5" t="n">
        <v>96.77</v>
      </c>
      <c r="I236" s="5" t="n">
        <f aca="false">G236*H236</f>
        <v>290.31</v>
      </c>
      <c r="J236" s="5" t="n">
        <f aca="false">I236*0.627</f>
        <v>182.02437</v>
      </c>
      <c r="K236" s="5" t="n">
        <f aca="false">I236-J236</f>
        <v>108.28563</v>
      </c>
      <c r="L236" s="6" t="n">
        <f aca="false">IF(I236=0,0,K236/I236)</f>
        <v>0.373</v>
      </c>
    </row>
    <row r="237" customFormat="false" ht="15" hidden="false" customHeight="false" outlineLevel="0" collapsed="false">
      <c r="A237" s="2" t="n">
        <v>45555</v>
      </c>
      <c r="B237" s="3" t="s">
        <v>19</v>
      </c>
      <c r="C237" s="3" t="s">
        <v>13</v>
      </c>
      <c r="D237" s="3" t="s">
        <v>39</v>
      </c>
      <c r="E237" s="3" t="s">
        <v>41</v>
      </c>
      <c r="F237" s="3" t="s">
        <v>26</v>
      </c>
      <c r="G237" s="4" t="n">
        <v>35</v>
      </c>
      <c r="H237" s="5" t="n">
        <v>395.82</v>
      </c>
      <c r="I237" s="5" t="n">
        <f aca="false">G237*H237</f>
        <v>13853.7</v>
      </c>
      <c r="J237" s="5" t="n">
        <f aca="false">I237*0.457</f>
        <v>6331.1409</v>
      </c>
      <c r="K237" s="5" t="n">
        <f aca="false">I237-J237</f>
        <v>7522.5591</v>
      </c>
      <c r="L237" s="6" t="n">
        <f aca="false">IF(I237=0,0,K237/I237)</f>
        <v>0.543</v>
      </c>
    </row>
    <row r="238" customFormat="false" ht="15" hidden="false" customHeight="false" outlineLevel="0" collapsed="false">
      <c r="A238" s="2" t="n">
        <v>45474</v>
      </c>
      <c r="B238" s="3" t="s">
        <v>31</v>
      </c>
      <c r="C238" s="3" t="s">
        <v>35</v>
      </c>
      <c r="D238" s="3" t="s">
        <v>21</v>
      </c>
      <c r="E238" s="3" t="s">
        <v>22</v>
      </c>
      <c r="F238" s="3" t="s">
        <v>23</v>
      </c>
      <c r="G238" s="4" t="n">
        <v>42</v>
      </c>
      <c r="H238" s="5" t="n">
        <v>1233.5</v>
      </c>
      <c r="I238" s="5" t="n">
        <f aca="false">G238*H238</f>
        <v>51807</v>
      </c>
      <c r="J238" s="5" t="n">
        <f aca="false">I238*0.475</f>
        <v>24608.325</v>
      </c>
      <c r="K238" s="5" t="n">
        <f aca="false">I238-J238</f>
        <v>27198.675</v>
      </c>
      <c r="L238" s="6" t="n">
        <f aca="false">IF(I238=0,0,K238/I238)</f>
        <v>0.525</v>
      </c>
    </row>
    <row r="239" customFormat="false" ht="15" hidden="false" customHeight="false" outlineLevel="0" collapsed="false">
      <c r="A239" s="2" t="n">
        <v>45496</v>
      </c>
      <c r="B239" s="3" t="s">
        <v>31</v>
      </c>
      <c r="C239" s="3" t="s">
        <v>43</v>
      </c>
      <c r="D239" s="3" t="s">
        <v>34</v>
      </c>
      <c r="E239" s="3" t="s">
        <v>25</v>
      </c>
      <c r="F239" s="3" t="s">
        <v>26</v>
      </c>
      <c r="G239" s="4" t="n">
        <v>25</v>
      </c>
      <c r="H239" s="5" t="n">
        <v>427.32</v>
      </c>
      <c r="I239" s="5" t="n">
        <f aca="false">G239*H239</f>
        <v>10683</v>
      </c>
      <c r="J239" s="5" t="n">
        <f aca="false">I239*0.487</f>
        <v>5202.621</v>
      </c>
      <c r="K239" s="5" t="n">
        <f aca="false">I239-J239</f>
        <v>5480.379</v>
      </c>
      <c r="L239" s="6" t="n">
        <f aca="false">IF(I239=0,0,K239/I239)</f>
        <v>0.513</v>
      </c>
    </row>
    <row r="240" customFormat="false" ht="15" hidden="false" customHeight="false" outlineLevel="0" collapsed="false">
      <c r="A240" s="2" t="n">
        <v>45557</v>
      </c>
      <c r="B240" s="3" t="s">
        <v>19</v>
      </c>
      <c r="C240" s="3" t="s">
        <v>20</v>
      </c>
      <c r="D240" s="3" t="s">
        <v>37</v>
      </c>
      <c r="E240" s="3" t="s">
        <v>29</v>
      </c>
      <c r="F240" s="3" t="s">
        <v>30</v>
      </c>
      <c r="G240" s="4" t="n">
        <v>6</v>
      </c>
      <c r="H240" s="5" t="n">
        <v>48.07</v>
      </c>
      <c r="I240" s="5" t="n">
        <f aca="false">G240*H240</f>
        <v>288.42</v>
      </c>
      <c r="J240" s="5" t="n">
        <f aca="false">I240*0.466</f>
        <v>134.40372</v>
      </c>
      <c r="K240" s="5" t="n">
        <f aca="false">I240-J240</f>
        <v>154.01628</v>
      </c>
      <c r="L240" s="6" t="n">
        <f aca="false">IF(I240=0,0,K240/I240)</f>
        <v>0.534</v>
      </c>
    </row>
    <row r="241" customFormat="false" ht="15" hidden="false" customHeight="false" outlineLevel="0" collapsed="false">
      <c r="A241" s="2" t="n">
        <v>45571</v>
      </c>
      <c r="B241" s="3" t="s">
        <v>33</v>
      </c>
      <c r="C241" s="3" t="s">
        <v>35</v>
      </c>
      <c r="D241" s="3" t="s">
        <v>39</v>
      </c>
      <c r="E241" s="3" t="s">
        <v>29</v>
      </c>
      <c r="F241" s="3" t="s">
        <v>30</v>
      </c>
      <c r="G241" s="4" t="n">
        <v>21</v>
      </c>
      <c r="H241" s="5" t="n">
        <v>39.64</v>
      </c>
      <c r="I241" s="5" t="n">
        <f aca="false">G241*H241</f>
        <v>832.44</v>
      </c>
      <c r="J241" s="5" t="n">
        <f aca="false">I241*0.516</f>
        <v>429.53904</v>
      </c>
      <c r="K241" s="5" t="n">
        <f aca="false">I241-J241</f>
        <v>402.90096</v>
      </c>
      <c r="L241" s="6" t="n">
        <f aca="false">IF(I241=0,0,K241/I241)</f>
        <v>0.484</v>
      </c>
    </row>
    <row r="242" customFormat="false" ht="15" hidden="false" customHeight="false" outlineLevel="0" collapsed="false">
      <c r="A242" s="2" t="n">
        <v>45520</v>
      </c>
      <c r="B242" s="3" t="s">
        <v>49</v>
      </c>
      <c r="C242" s="3" t="s">
        <v>28</v>
      </c>
      <c r="D242" s="3" t="s">
        <v>34</v>
      </c>
      <c r="E242" s="3" t="s">
        <v>41</v>
      </c>
      <c r="F242" s="3" t="s">
        <v>26</v>
      </c>
      <c r="G242" s="4" t="n">
        <v>11</v>
      </c>
      <c r="H242" s="5" t="n">
        <v>421.71</v>
      </c>
      <c r="I242" s="5" t="n">
        <f aca="false">G242*H242</f>
        <v>4638.81</v>
      </c>
      <c r="J242" s="5" t="n">
        <f aca="false">I242*0.52</f>
        <v>2412.1812</v>
      </c>
      <c r="K242" s="5" t="n">
        <f aca="false">I242-J242</f>
        <v>2226.6288</v>
      </c>
      <c r="L242" s="6" t="n">
        <f aca="false">IF(I242=0,0,K242/I242)</f>
        <v>0.48</v>
      </c>
    </row>
    <row r="243" customFormat="false" ht="15" hidden="false" customHeight="false" outlineLevel="0" collapsed="false">
      <c r="A243" s="2" t="n">
        <v>45606</v>
      </c>
      <c r="B243" s="3" t="s">
        <v>12</v>
      </c>
      <c r="C243" s="3" t="s">
        <v>28</v>
      </c>
      <c r="D243" s="3" t="s">
        <v>14</v>
      </c>
      <c r="E243" s="3" t="s">
        <v>41</v>
      </c>
      <c r="F243" s="3" t="s">
        <v>26</v>
      </c>
      <c r="G243" s="4" t="n">
        <v>18</v>
      </c>
      <c r="H243" s="5" t="n">
        <v>415.69</v>
      </c>
      <c r="I243" s="5" t="n">
        <f aca="false">G243*H243</f>
        <v>7482.42</v>
      </c>
      <c r="J243" s="5" t="n">
        <f aca="false">I243*0.608</f>
        <v>4549.31136</v>
      </c>
      <c r="K243" s="5" t="n">
        <f aca="false">I243-J243</f>
        <v>2933.10864</v>
      </c>
      <c r="L243" s="6" t="n">
        <f aca="false">IF(I243=0,0,K243/I243)</f>
        <v>0.392</v>
      </c>
    </row>
    <row r="244" customFormat="false" ht="15" hidden="false" customHeight="false" outlineLevel="0" collapsed="false">
      <c r="A244" s="2" t="n">
        <v>45635</v>
      </c>
      <c r="B244" s="3" t="s">
        <v>17</v>
      </c>
      <c r="C244" s="3" t="s">
        <v>13</v>
      </c>
      <c r="D244" s="3" t="s">
        <v>44</v>
      </c>
      <c r="E244" s="3" t="s">
        <v>41</v>
      </c>
      <c r="F244" s="3" t="s">
        <v>26</v>
      </c>
      <c r="G244" s="4" t="n">
        <v>24</v>
      </c>
      <c r="H244" s="5" t="n">
        <v>400.57</v>
      </c>
      <c r="I244" s="5" t="n">
        <f aca="false">G244*H244</f>
        <v>9613.68</v>
      </c>
      <c r="J244" s="5" t="n">
        <f aca="false">I244*0.6</f>
        <v>5768.208</v>
      </c>
      <c r="K244" s="5" t="n">
        <f aca="false">I244-J244</f>
        <v>3845.472</v>
      </c>
      <c r="L244" s="6" t="n">
        <f aca="false">IF(I244=0,0,K244/I244)</f>
        <v>0.4</v>
      </c>
    </row>
    <row r="245" customFormat="false" ht="15" hidden="false" customHeight="false" outlineLevel="0" collapsed="false">
      <c r="A245" s="2" t="n">
        <v>45365</v>
      </c>
      <c r="B245" s="3" t="s">
        <v>40</v>
      </c>
      <c r="C245" s="3" t="s">
        <v>35</v>
      </c>
      <c r="D245" s="3" t="s">
        <v>34</v>
      </c>
      <c r="E245" s="3" t="s">
        <v>25</v>
      </c>
      <c r="F245" s="3" t="s">
        <v>26</v>
      </c>
      <c r="G245" s="4" t="n">
        <v>3</v>
      </c>
      <c r="H245" s="5" t="n">
        <v>398.65</v>
      </c>
      <c r="I245" s="5" t="n">
        <f aca="false">G245*H245</f>
        <v>1195.95</v>
      </c>
      <c r="J245" s="5" t="n">
        <f aca="false">I245*0.497</f>
        <v>594.38715</v>
      </c>
      <c r="K245" s="5" t="n">
        <f aca="false">I245-J245</f>
        <v>601.56285</v>
      </c>
      <c r="L245" s="6" t="n">
        <f aca="false">IF(I245=0,0,K245/I245)</f>
        <v>0.503</v>
      </c>
    </row>
    <row r="246" customFormat="false" ht="15" hidden="false" customHeight="false" outlineLevel="0" collapsed="false">
      <c r="A246" s="2" t="n">
        <v>45488</v>
      </c>
      <c r="B246" s="3" t="s">
        <v>31</v>
      </c>
      <c r="C246" s="3" t="s">
        <v>35</v>
      </c>
      <c r="D246" s="3" t="s">
        <v>34</v>
      </c>
      <c r="E246" s="3" t="s">
        <v>22</v>
      </c>
      <c r="F246" s="3" t="s">
        <v>23</v>
      </c>
      <c r="G246" s="4" t="n">
        <v>39</v>
      </c>
      <c r="H246" s="5" t="n">
        <v>1163.94</v>
      </c>
      <c r="I246" s="5" t="n">
        <f aca="false">G246*H246</f>
        <v>45393.66</v>
      </c>
      <c r="J246" s="5" t="n">
        <f aca="false">I246*0.54</f>
        <v>24512.5764</v>
      </c>
      <c r="K246" s="5" t="n">
        <f aca="false">I246-J246</f>
        <v>20881.0836</v>
      </c>
      <c r="L246" s="6" t="n">
        <f aca="false">IF(I246=0,0,K246/I246)</f>
        <v>0.46</v>
      </c>
    </row>
    <row r="247" customFormat="false" ht="15" hidden="false" customHeight="false" outlineLevel="0" collapsed="false">
      <c r="A247" s="2" t="n">
        <v>45519</v>
      </c>
      <c r="B247" s="3" t="s">
        <v>49</v>
      </c>
      <c r="C247" s="3" t="s">
        <v>35</v>
      </c>
      <c r="D247" s="3" t="s">
        <v>39</v>
      </c>
      <c r="E247" s="3" t="s">
        <v>15</v>
      </c>
      <c r="F247" s="3" t="s">
        <v>16</v>
      </c>
      <c r="G247" s="4" t="n">
        <v>37</v>
      </c>
      <c r="H247" s="5" t="n">
        <v>25.85</v>
      </c>
      <c r="I247" s="5" t="n">
        <f aca="false">G247*H247</f>
        <v>956.45</v>
      </c>
      <c r="J247" s="5" t="n">
        <f aca="false">I247*0.523</f>
        <v>500.22335</v>
      </c>
      <c r="K247" s="5" t="n">
        <f aca="false">I247-J247</f>
        <v>456.22665</v>
      </c>
      <c r="L247" s="6" t="n">
        <f aca="false">IF(I247=0,0,K247/I247)</f>
        <v>0.477</v>
      </c>
    </row>
    <row r="248" customFormat="false" ht="15" hidden="false" customHeight="false" outlineLevel="0" collapsed="false">
      <c r="A248" s="2" t="n">
        <v>45419</v>
      </c>
      <c r="B248" s="3" t="s">
        <v>45</v>
      </c>
      <c r="C248" s="3" t="s">
        <v>43</v>
      </c>
      <c r="D248" s="3" t="s">
        <v>14</v>
      </c>
      <c r="E248" s="3" t="s">
        <v>15</v>
      </c>
      <c r="F248" s="3" t="s">
        <v>16</v>
      </c>
      <c r="G248" s="4" t="n">
        <v>2</v>
      </c>
      <c r="H248" s="5" t="n">
        <v>31.05</v>
      </c>
      <c r="I248" s="5" t="n">
        <f aca="false">G248*H248</f>
        <v>62.1</v>
      </c>
      <c r="J248" s="5" t="n">
        <f aca="false">I248*0.55</f>
        <v>34.155</v>
      </c>
      <c r="K248" s="5" t="n">
        <f aca="false">I248-J248</f>
        <v>27.945</v>
      </c>
      <c r="L248" s="6" t="n">
        <f aca="false">IF(I248=0,0,K248/I248)</f>
        <v>0.45</v>
      </c>
    </row>
    <row r="249" customFormat="false" ht="15" hidden="false" customHeight="false" outlineLevel="0" collapsed="false">
      <c r="A249" s="2" t="n">
        <v>45426</v>
      </c>
      <c r="B249" s="3" t="s">
        <v>45</v>
      </c>
      <c r="C249" s="3" t="s">
        <v>35</v>
      </c>
      <c r="D249" s="3" t="s">
        <v>32</v>
      </c>
      <c r="E249" s="3" t="s">
        <v>29</v>
      </c>
      <c r="F249" s="3" t="s">
        <v>30</v>
      </c>
      <c r="G249" s="4" t="n">
        <v>46</v>
      </c>
      <c r="H249" s="5" t="n">
        <v>44.27</v>
      </c>
      <c r="I249" s="5" t="n">
        <f aca="false">G249*H249</f>
        <v>2036.42</v>
      </c>
      <c r="J249" s="5" t="n">
        <f aca="false">I249*0.649</f>
        <v>1321.63658</v>
      </c>
      <c r="K249" s="5" t="n">
        <f aca="false">I249-J249</f>
        <v>714.78342</v>
      </c>
      <c r="L249" s="6" t="n">
        <f aca="false">IF(I249=0,0,K249/I249)</f>
        <v>0.351</v>
      </c>
    </row>
    <row r="250" customFormat="false" ht="15" hidden="false" customHeight="false" outlineLevel="0" collapsed="false">
      <c r="A250" s="2" t="n">
        <v>45394</v>
      </c>
      <c r="B250" s="3" t="s">
        <v>24</v>
      </c>
      <c r="C250" s="3" t="s">
        <v>43</v>
      </c>
      <c r="D250" s="3" t="s">
        <v>14</v>
      </c>
      <c r="E250" s="3" t="s">
        <v>15</v>
      </c>
      <c r="F250" s="3" t="s">
        <v>16</v>
      </c>
      <c r="G250" s="4" t="n">
        <v>9</v>
      </c>
      <c r="H250" s="5" t="n">
        <v>32.07</v>
      </c>
      <c r="I250" s="5" t="n">
        <f aca="false">G250*H250</f>
        <v>288.63</v>
      </c>
      <c r="J250" s="5" t="n">
        <f aca="false">I250*0.54</f>
        <v>155.8602</v>
      </c>
      <c r="K250" s="5" t="n">
        <f aca="false">I250-J250</f>
        <v>132.7698</v>
      </c>
      <c r="L250" s="6" t="n">
        <f aca="false">IF(I250=0,0,K250/I250)</f>
        <v>0.46</v>
      </c>
    </row>
    <row r="251" customFormat="false" ht="15" hidden="false" customHeight="false" outlineLevel="0" collapsed="false">
      <c r="A251" s="2" t="n">
        <v>45641</v>
      </c>
      <c r="B251" s="3" t="s">
        <v>17</v>
      </c>
      <c r="C251" s="3" t="s">
        <v>20</v>
      </c>
      <c r="D251" s="3" t="s">
        <v>39</v>
      </c>
      <c r="E251" s="3" t="s">
        <v>38</v>
      </c>
      <c r="F251" s="3" t="s">
        <v>30</v>
      </c>
      <c r="G251" s="4" t="n">
        <v>43</v>
      </c>
      <c r="H251" s="5" t="n">
        <v>123.1</v>
      </c>
      <c r="I251" s="5" t="n">
        <f aca="false">G251*H251</f>
        <v>5293.3</v>
      </c>
      <c r="J251" s="5" t="n">
        <f aca="false">I251*0.463</f>
        <v>2450.7979</v>
      </c>
      <c r="K251" s="5" t="n">
        <f aca="false">I251-J251</f>
        <v>2842.5021</v>
      </c>
      <c r="L251" s="6" t="n">
        <f aca="false">IF(I251=0,0,K251/I251)</f>
        <v>0.537</v>
      </c>
    </row>
    <row r="252" customFormat="false" ht="15" hidden="false" customHeight="false" outlineLevel="0" collapsed="false">
      <c r="A252" s="7" t="s">
        <v>50</v>
      </c>
      <c r="G252" s="8" t="n">
        <f aca="false">SUM(G2:G251)</f>
        <v>6387</v>
      </c>
      <c r="I252" s="8" t="n">
        <f aca="false">SUM(I2:I251)</f>
        <v>2265793.43</v>
      </c>
      <c r="J252" s="8" t="n">
        <f aca="false">SUM(J2:J251)</f>
        <v>1219175.95202</v>
      </c>
      <c r="K252" s="8" t="n">
        <f aca="false">SUM(K2:K251)</f>
        <v>1046617.47798</v>
      </c>
      <c r="L252" s="9" t="n">
        <f aca="false">IF(I252=0,0,K252/I252)</f>
        <v>0.46192096072059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</row>
    <row r="2" customFormat="false" ht="15" hidden="false" customHeight="false" outlineLevel="0" collapsed="false">
      <c r="A2" s="3" t="s">
        <v>61</v>
      </c>
      <c r="B2" s="3" t="s">
        <v>62</v>
      </c>
      <c r="C2" s="3" t="s">
        <v>63</v>
      </c>
      <c r="D2" s="3" t="s">
        <v>64</v>
      </c>
      <c r="E2" s="11" t="n">
        <v>42903</v>
      </c>
      <c r="F2" s="12" t="n">
        <v>1425396</v>
      </c>
      <c r="G2" s="3" t="n">
        <v>2</v>
      </c>
      <c r="H2" s="3" t="n">
        <v>5</v>
      </c>
      <c r="I2" s="3" t="n">
        <v>4.6</v>
      </c>
      <c r="J2" s="13" t="n">
        <v>20</v>
      </c>
    </row>
    <row r="3" customFormat="false" ht="15" hidden="false" customHeight="false" outlineLevel="0" collapsed="false">
      <c r="A3" s="3" t="s">
        <v>65</v>
      </c>
      <c r="B3" s="3" t="s">
        <v>66</v>
      </c>
      <c r="C3" s="3" t="s">
        <v>67</v>
      </c>
      <c r="D3" s="3" t="s">
        <v>68</v>
      </c>
      <c r="E3" s="11" t="n">
        <v>44093</v>
      </c>
      <c r="F3" s="12" t="n">
        <v>1880484</v>
      </c>
      <c r="G3" s="3" t="n">
        <v>8</v>
      </c>
      <c r="H3" s="3" t="n">
        <v>4.5</v>
      </c>
      <c r="I3" s="3" t="n">
        <v>4.1</v>
      </c>
      <c r="J3" s="13" t="n">
        <v>80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11" t="n">
        <v>43669</v>
      </c>
      <c r="F4" s="12" t="n">
        <v>2981364</v>
      </c>
      <c r="G4" s="3" t="n">
        <v>8</v>
      </c>
      <c r="H4" s="3" t="n">
        <v>3.8</v>
      </c>
      <c r="I4" s="3" t="n">
        <v>4.5</v>
      </c>
      <c r="J4" s="13" t="n">
        <v>80</v>
      </c>
    </row>
    <row r="5" customFormat="false" ht="15" hidden="false" customHeight="false" outlineLevel="0" collapsed="false">
      <c r="A5" s="3" t="s">
        <v>73</v>
      </c>
      <c r="B5" s="3" t="s">
        <v>74</v>
      </c>
      <c r="C5" s="3" t="s">
        <v>71</v>
      </c>
      <c r="D5" s="3" t="s">
        <v>72</v>
      </c>
      <c r="E5" s="11" t="n">
        <v>44138</v>
      </c>
      <c r="F5" s="12" t="n">
        <v>2135496</v>
      </c>
      <c r="G5" s="3" t="n">
        <v>8</v>
      </c>
      <c r="H5" s="3" t="n">
        <v>4.2</v>
      </c>
      <c r="I5" s="3" t="n">
        <v>3.7</v>
      </c>
      <c r="J5" s="13" t="n">
        <v>80</v>
      </c>
    </row>
    <row r="6" customFormat="false" ht="15" hidden="false" customHeight="false" outlineLevel="0" collapsed="false">
      <c r="A6" s="3" t="s">
        <v>75</v>
      </c>
      <c r="B6" s="3" t="s">
        <v>76</v>
      </c>
      <c r="C6" s="3" t="s">
        <v>77</v>
      </c>
      <c r="D6" s="3" t="s">
        <v>78</v>
      </c>
      <c r="E6" s="11" t="n">
        <v>44467</v>
      </c>
      <c r="F6" s="12" t="n">
        <v>894312</v>
      </c>
      <c r="G6" s="3" t="n">
        <v>14</v>
      </c>
      <c r="H6" s="3" t="n">
        <v>2.8</v>
      </c>
      <c r="I6" s="3" t="n">
        <v>3.3</v>
      </c>
      <c r="J6" s="13" t="n">
        <v>20</v>
      </c>
    </row>
    <row r="7" customFormat="false" ht="15" hidden="false" customHeight="false" outlineLevel="0" collapsed="false">
      <c r="A7" s="3" t="s">
        <v>79</v>
      </c>
      <c r="B7" s="3" t="s">
        <v>80</v>
      </c>
      <c r="C7" s="3" t="s">
        <v>77</v>
      </c>
      <c r="D7" s="3" t="s">
        <v>81</v>
      </c>
      <c r="E7" s="11" t="n">
        <v>43268</v>
      </c>
      <c r="F7" s="12" t="n">
        <v>1613532</v>
      </c>
      <c r="G7" s="3" t="n">
        <v>14</v>
      </c>
      <c r="H7" s="3" t="n">
        <v>2.7</v>
      </c>
      <c r="I7" s="3" t="n">
        <v>3.4</v>
      </c>
      <c r="J7" s="13" t="n">
        <v>80</v>
      </c>
    </row>
    <row r="8" customFormat="false" ht="15" hidden="false" customHeight="false" outlineLevel="0" collapsed="false">
      <c r="A8" s="3" t="s">
        <v>82</v>
      </c>
      <c r="B8" s="3" t="s">
        <v>83</v>
      </c>
      <c r="C8" s="3" t="s">
        <v>63</v>
      </c>
      <c r="D8" s="3" t="s">
        <v>64</v>
      </c>
      <c r="E8" s="11" t="n">
        <v>43756</v>
      </c>
      <c r="F8" s="12" t="n">
        <v>1013892</v>
      </c>
      <c r="G8" s="3" t="n">
        <v>9</v>
      </c>
      <c r="H8" s="3" t="n">
        <v>4.1</v>
      </c>
      <c r="I8" s="3" t="n">
        <v>4.2</v>
      </c>
      <c r="J8" s="13" t="n">
        <v>80</v>
      </c>
    </row>
    <row r="9" customFormat="false" ht="15" hidden="false" customHeight="false" outlineLevel="0" collapsed="false">
      <c r="A9" s="3" t="s">
        <v>84</v>
      </c>
      <c r="B9" s="3" t="s">
        <v>85</v>
      </c>
      <c r="C9" s="3" t="s">
        <v>77</v>
      </c>
      <c r="D9" s="3" t="s">
        <v>78</v>
      </c>
      <c r="E9" s="11" t="n">
        <v>44106</v>
      </c>
      <c r="F9" s="12" t="n">
        <v>809244</v>
      </c>
      <c r="G9" s="3" t="n">
        <v>2</v>
      </c>
      <c r="H9" s="3" t="n">
        <v>2.6</v>
      </c>
      <c r="I9" s="3" t="n">
        <v>4.3</v>
      </c>
      <c r="J9" s="13" t="n">
        <v>80</v>
      </c>
    </row>
    <row r="10" customFormat="false" ht="15" hidden="false" customHeight="false" outlineLevel="0" collapsed="false">
      <c r="A10" s="3" t="s">
        <v>86</v>
      </c>
      <c r="B10" s="3" t="s">
        <v>87</v>
      </c>
      <c r="C10" s="3" t="s">
        <v>63</v>
      </c>
      <c r="D10" s="3" t="s">
        <v>88</v>
      </c>
      <c r="E10" s="11" t="n">
        <v>43387</v>
      </c>
      <c r="F10" s="12" t="n">
        <v>2664396</v>
      </c>
      <c r="G10" s="3" t="n">
        <v>11</v>
      </c>
      <c r="H10" s="3" t="n">
        <v>2.6</v>
      </c>
      <c r="I10" s="3" t="n">
        <v>4.8</v>
      </c>
      <c r="J10" s="13" t="n">
        <v>80</v>
      </c>
    </row>
    <row r="11" customFormat="false" ht="15" hidden="false" customHeight="false" outlineLevel="0" collapsed="false">
      <c r="A11" s="3" t="s">
        <v>89</v>
      </c>
      <c r="B11" s="3" t="s">
        <v>90</v>
      </c>
      <c r="C11" s="3" t="s">
        <v>63</v>
      </c>
      <c r="D11" s="3" t="s">
        <v>88</v>
      </c>
      <c r="E11" s="11" t="n">
        <v>43685</v>
      </c>
      <c r="F11" s="12" t="n">
        <v>2874792</v>
      </c>
      <c r="G11" s="3" t="n">
        <v>7</v>
      </c>
      <c r="H11" s="3" t="n">
        <v>3.2</v>
      </c>
      <c r="I11" s="3" t="n">
        <v>3.1</v>
      </c>
      <c r="J11" s="13" t="n">
        <v>0</v>
      </c>
    </row>
    <row r="12" customFormat="false" ht="15" hidden="false" customHeight="false" outlineLevel="0" collapsed="false">
      <c r="A12" s="3" t="s">
        <v>91</v>
      </c>
      <c r="B12" s="3" t="s">
        <v>92</v>
      </c>
      <c r="C12" s="3" t="s">
        <v>77</v>
      </c>
      <c r="D12" s="3" t="s">
        <v>81</v>
      </c>
      <c r="E12" s="11" t="n">
        <v>44423</v>
      </c>
      <c r="F12" s="12" t="n">
        <v>1361796</v>
      </c>
      <c r="G12" s="3" t="n">
        <v>6</v>
      </c>
      <c r="H12" s="3" t="n">
        <v>4</v>
      </c>
      <c r="I12" s="3" t="n">
        <v>3.6</v>
      </c>
      <c r="J12" s="13" t="n">
        <v>100</v>
      </c>
    </row>
    <row r="13" customFormat="false" ht="15" hidden="false" customHeight="false" outlineLevel="0" collapsed="false">
      <c r="A13" s="3" t="s">
        <v>93</v>
      </c>
      <c r="B13" s="3" t="s">
        <v>94</v>
      </c>
      <c r="C13" s="3" t="s">
        <v>95</v>
      </c>
      <c r="D13" s="3" t="s">
        <v>88</v>
      </c>
      <c r="E13" s="11" t="n">
        <v>44017</v>
      </c>
      <c r="F13" s="12" t="n">
        <v>1885608</v>
      </c>
      <c r="G13" s="3" t="n">
        <v>9</v>
      </c>
      <c r="H13" s="3" t="n">
        <v>3.9</v>
      </c>
      <c r="I13" s="3" t="n">
        <v>3.6</v>
      </c>
      <c r="J13" s="13" t="n">
        <v>50</v>
      </c>
    </row>
    <row r="14" customFormat="false" ht="15" hidden="false" customHeight="false" outlineLevel="0" collapsed="false">
      <c r="A14" s="3" t="s">
        <v>96</v>
      </c>
      <c r="B14" s="3" t="s">
        <v>97</v>
      </c>
      <c r="C14" s="3" t="s">
        <v>71</v>
      </c>
      <c r="D14" s="3" t="s">
        <v>98</v>
      </c>
      <c r="E14" s="11" t="n">
        <v>44656</v>
      </c>
      <c r="F14" s="12" t="n">
        <v>1024536</v>
      </c>
      <c r="G14" s="3" t="n">
        <v>1</v>
      </c>
      <c r="H14" s="3" t="n">
        <v>3.2</v>
      </c>
      <c r="I14" s="3" t="n">
        <v>3.8</v>
      </c>
      <c r="J14" s="13" t="n">
        <v>80</v>
      </c>
    </row>
    <row r="15" customFormat="false" ht="15" hidden="false" customHeight="false" outlineLevel="0" collapsed="false">
      <c r="A15" s="3" t="s">
        <v>99</v>
      </c>
      <c r="B15" s="3" t="s">
        <v>100</v>
      </c>
      <c r="C15" s="3" t="s">
        <v>4</v>
      </c>
      <c r="D15" s="3" t="s">
        <v>101</v>
      </c>
      <c r="E15" s="11" t="n">
        <v>42905</v>
      </c>
      <c r="F15" s="12" t="n">
        <v>2988468</v>
      </c>
      <c r="G15" s="3" t="n">
        <v>6</v>
      </c>
      <c r="H15" s="3" t="n">
        <v>3</v>
      </c>
      <c r="I15" s="3" t="n">
        <v>3.3</v>
      </c>
      <c r="J15" s="13" t="n">
        <v>80</v>
      </c>
    </row>
    <row r="16" customFormat="false" ht="15" hidden="false" customHeight="false" outlineLevel="0" collapsed="false">
      <c r="A16" s="3" t="s">
        <v>102</v>
      </c>
      <c r="B16" s="3" t="s">
        <v>103</v>
      </c>
      <c r="C16" s="3" t="s">
        <v>67</v>
      </c>
      <c r="D16" s="3" t="s">
        <v>104</v>
      </c>
      <c r="E16" s="11" t="n">
        <v>43678</v>
      </c>
      <c r="F16" s="12" t="n">
        <v>1003260</v>
      </c>
      <c r="G16" s="3" t="n">
        <v>7</v>
      </c>
      <c r="H16" s="3" t="n">
        <v>3.8</v>
      </c>
      <c r="I16" s="3" t="n">
        <v>4.9</v>
      </c>
      <c r="J16" s="13" t="n">
        <v>20</v>
      </c>
    </row>
    <row r="17" customFormat="false" ht="15" hidden="false" customHeight="false" outlineLevel="0" collapsed="false">
      <c r="A17" s="3" t="s">
        <v>105</v>
      </c>
      <c r="B17" s="3" t="s">
        <v>106</v>
      </c>
      <c r="C17" s="3" t="s">
        <v>95</v>
      </c>
      <c r="D17" s="3" t="s">
        <v>107</v>
      </c>
      <c r="E17" s="11" t="n">
        <v>42140</v>
      </c>
      <c r="F17" s="12" t="n">
        <v>2599620</v>
      </c>
      <c r="G17" s="3" t="n">
        <v>15</v>
      </c>
      <c r="H17" s="3" t="n">
        <v>4.6</v>
      </c>
      <c r="I17" s="3" t="n">
        <v>4.3</v>
      </c>
      <c r="J17" s="13" t="n">
        <v>40</v>
      </c>
    </row>
    <row r="18" customFormat="false" ht="15" hidden="false" customHeight="false" outlineLevel="0" collapsed="false">
      <c r="A18" s="3" t="s">
        <v>108</v>
      </c>
      <c r="B18" s="3" t="s">
        <v>109</v>
      </c>
      <c r="C18" s="3" t="s">
        <v>110</v>
      </c>
      <c r="D18" s="3" t="s">
        <v>111</v>
      </c>
      <c r="E18" s="11" t="n">
        <v>44264</v>
      </c>
      <c r="F18" s="12" t="n">
        <v>1870632</v>
      </c>
      <c r="G18" s="3" t="n">
        <v>13</v>
      </c>
      <c r="H18" s="3" t="n">
        <v>3.5</v>
      </c>
      <c r="I18" s="3" t="n">
        <v>3.1</v>
      </c>
      <c r="J18" s="13" t="n">
        <v>0</v>
      </c>
    </row>
    <row r="19" customFormat="false" ht="15" hidden="false" customHeight="false" outlineLevel="0" collapsed="false">
      <c r="A19" s="3" t="s">
        <v>112</v>
      </c>
      <c r="B19" s="3" t="s">
        <v>113</v>
      </c>
      <c r="C19" s="3" t="s">
        <v>114</v>
      </c>
      <c r="D19" s="3" t="s">
        <v>115</v>
      </c>
      <c r="E19" s="11" t="n">
        <v>45049</v>
      </c>
      <c r="F19" s="12" t="n">
        <v>1935348</v>
      </c>
      <c r="G19" s="3" t="n">
        <v>9</v>
      </c>
      <c r="H19" s="3" t="n">
        <v>3.6</v>
      </c>
      <c r="I19" s="3" t="n">
        <v>4.1</v>
      </c>
      <c r="J19" s="13" t="n">
        <v>80</v>
      </c>
    </row>
    <row r="20" customFormat="false" ht="15" hidden="false" customHeight="false" outlineLevel="0" collapsed="false">
      <c r="A20" s="3" t="s">
        <v>116</v>
      </c>
      <c r="B20" s="3" t="s">
        <v>117</v>
      </c>
      <c r="C20" s="3" t="s">
        <v>71</v>
      </c>
      <c r="D20" s="3" t="s">
        <v>72</v>
      </c>
      <c r="E20" s="11" t="n">
        <v>42563</v>
      </c>
      <c r="F20" s="12" t="n">
        <v>1786668</v>
      </c>
      <c r="G20" s="3" t="n">
        <v>9</v>
      </c>
      <c r="H20" s="3" t="n">
        <v>4.8</v>
      </c>
      <c r="I20" s="3" t="n">
        <v>4.5</v>
      </c>
      <c r="J20" s="13" t="n">
        <v>20</v>
      </c>
    </row>
    <row r="21" customFormat="false" ht="15" hidden="false" customHeight="false" outlineLevel="0" collapsed="false">
      <c r="A21" s="3" t="s">
        <v>118</v>
      </c>
      <c r="B21" s="3" t="s">
        <v>119</v>
      </c>
      <c r="C21" s="3" t="s">
        <v>4</v>
      </c>
      <c r="D21" s="3" t="s">
        <v>88</v>
      </c>
      <c r="E21" s="11" t="n">
        <v>42006</v>
      </c>
      <c r="F21" s="12" t="n">
        <v>1151076</v>
      </c>
      <c r="G21" s="3" t="n">
        <v>12</v>
      </c>
      <c r="H21" s="3" t="n">
        <v>3.3</v>
      </c>
      <c r="I21" s="3" t="n">
        <v>3.9</v>
      </c>
      <c r="J21" s="13" t="n">
        <v>50</v>
      </c>
    </row>
    <row r="22" customFormat="false" ht="15" hidden="false" customHeight="false" outlineLevel="0" collapsed="false">
      <c r="A22" s="3" t="s">
        <v>120</v>
      </c>
      <c r="B22" s="3" t="s">
        <v>121</v>
      </c>
      <c r="C22" s="3" t="s">
        <v>77</v>
      </c>
      <c r="D22" s="3" t="s">
        <v>98</v>
      </c>
      <c r="E22" s="11" t="n">
        <v>44996</v>
      </c>
      <c r="F22" s="12" t="n">
        <v>2648544</v>
      </c>
      <c r="G22" s="3" t="n">
        <v>6</v>
      </c>
      <c r="H22" s="3" t="n">
        <v>2.9</v>
      </c>
      <c r="I22" s="3" t="n">
        <v>5</v>
      </c>
      <c r="J22" s="13" t="n">
        <v>100</v>
      </c>
    </row>
    <row r="23" customFormat="false" ht="15" hidden="false" customHeight="false" outlineLevel="0" collapsed="false">
      <c r="A23" s="3" t="s">
        <v>122</v>
      </c>
      <c r="B23" s="3" t="s">
        <v>123</v>
      </c>
      <c r="C23" s="3" t="s">
        <v>63</v>
      </c>
      <c r="D23" s="3" t="s">
        <v>88</v>
      </c>
      <c r="E23" s="11" t="n">
        <v>44101</v>
      </c>
      <c r="F23" s="12" t="n">
        <v>2323416</v>
      </c>
      <c r="G23" s="3" t="n">
        <v>9</v>
      </c>
      <c r="H23" s="3" t="n">
        <v>3.7</v>
      </c>
      <c r="I23" s="3" t="n">
        <v>4.1</v>
      </c>
      <c r="J23" s="13" t="n">
        <v>50</v>
      </c>
    </row>
    <row r="24" customFormat="false" ht="15" hidden="false" customHeight="false" outlineLevel="0" collapsed="false">
      <c r="A24" s="3" t="s">
        <v>124</v>
      </c>
      <c r="B24" s="3" t="s">
        <v>125</v>
      </c>
      <c r="C24" s="3" t="s">
        <v>110</v>
      </c>
      <c r="D24" s="3" t="s">
        <v>126</v>
      </c>
      <c r="E24" s="11" t="n">
        <v>44139</v>
      </c>
      <c r="F24" s="12" t="n">
        <v>2030316</v>
      </c>
      <c r="G24" s="3" t="n">
        <v>10</v>
      </c>
      <c r="H24" s="3" t="n">
        <v>3.3</v>
      </c>
      <c r="I24" s="3" t="n">
        <v>4.8</v>
      </c>
      <c r="J24" s="13" t="n">
        <v>100</v>
      </c>
    </row>
    <row r="25" customFormat="false" ht="15" hidden="false" customHeight="false" outlineLevel="0" collapsed="false">
      <c r="A25" s="3" t="s">
        <v>127</v>
      </c>
      <c r="B25" s="3" t="s">
        <v>128</v>
      </c>
      <c r="C25" s="3" t="s">
        <v>110</v>
      </c>
      <c r="D25" s="3" t="s">
        <v>129</v>
      </c>
      <c r="E25" s="11" t="n">
        <v>44702</v>
      </c>
      <c r="F25" s="12" t="n">
        <v>2539716</v>
      </c>
      <c r="G25" s="3" t="n">
        <v>10</v>
      </c>
      <c r="H25" s="3" t="n">
        <v>3.1</v>
      </c>
      <c r="I25" s="3" t="n">
        <v>3.1</v>
      </c>
      <c r="J25" s="13" t="n">
        <v>50</v>
      </c>
    </row>
    <row r="26" customFormat="false" ht="15" hidden="false" customHeight="false" outlineLevel="0" collapsed="false">
      <c r="A26" s="3" t="s">
        <v>130</v>
      </c>
      <c r="B26" s="3" t="s">
        <v>131</v>
      </c>
      <c r="C26" s="3" t="s">
        <v>77</v>
      </c>
      <c r="D26" s="3" t="s">
        <v>98</v>
      </c>
      <c r="E26" s="11" t="n">
        <v>44282</v>
      </c>
      <c r="F26" s="12" t="n">
        <v>2861376</v>
      </c>
      <c r="G26" s="3" t="n">
        <v>4</v>
      </c>
      <c r="H26" s="3" t="n">
        <v>2.6</v>
      </c>
      <c r="I26" s="3" t="n">
        <v>4.9</v>
      </c>
      <c r="J26" s="13" t="n">
        <v>0</v>
      </c>
    </row>
    <row r="27" customFormat="false" ht="15" hidden="false" customHeight="false" outlineLevel="0" collapsed="false">
      <c r="A27" s="3" t="s">
        <v>132</v>
      </c>
      <c r="B27" s="3" t="s">
        <v>133</v>
      </c>
      <c r="C27" s="3" t="s">
        <v>114</v>
      </c>
      <c r="D27" s="3" t="s">
        <v>72</v>
      </c>
      <c r="E27" s="11" t="n">
        <v>44726</v>
      </c>
      <c r="F27" s="12" t="n">
        <v>1196352</v>
      </c>
      <c r="G27" s="3" t="n">
        <v>7</v>
      </c>
      <c r="H27" s="3" t="n">
        <v>4.2</v>
      </c>
      <c r="I27" s="3" t="n">
        <v>3.8</v>
      </c>
      <c r="J27" s="13" t="n">
        <v>80</v>
      </c>
    </row>
    <row r="28" customFormat="false" ht="15" hidden="false" customHeight="false" outlineLevel="0" collapsed="false">
      <c r="A28" s="3" t="s">
        <v>134</v>
      </c>
      <c r="B28" s="3" t="s">
        <v>135</v>
      </c>
      <c r="C28" s="3" t="s">
        <v>67</v>
      </c>
      <c r="D28" s="3" t="s">
        <v>136</v>
      </c>
      <c r="E28" s="11" t="n">
        <v>42343</v>
      </c>
      <c r="F28" s="12" t="n">
        <v>2351628</v>
      </c>
      <c r="G28" s="3" t="n">
        <v>4</v>
      </c>
      <c r="H28" s="3" t="n">
        <v>3.9</v>
      </c>
      <c r="I28" s="3" t="n">
        <v>5</v>
      </c>
      <c r="J28" s="13" t="n">
        <v>50</v>
      </c>
    </row>
    <row r="29" customFormat="false" ht="15" hidden="false" customHeight="false" outlineLevel="0" collapsed="false">
      <c r="A29" s="3" t="s">
        <v>137</v>
      </c>
      <c r="B29" s="3" t="s">
        <v>138</v>
      </c>
      <c r="C29" s="3" t="s">
        <v>4</v>
      </c>
      <c r="D29" s="3" t="s">
        <v>139</v>
      </c>
      <c r="E29" s="11" t="n">
        <v>42965</v>
      </c>
      <c r="F29" s="12" t="n">
        <v>1796856</v>
      </c>
      <c r="G29" s="3" t="n">
        <v>9</v>
      </c>
      <c r="H29" s="3" t="n">
        <v>3.4</v>
      </c>
      <c r="I29" s="3" t="n">
        <v>4.5</v>
      </c>
      <c r="J29" s="13" t="n">
        <v>100</v>
      </c>
    </row>
    <row r="30" customFormat="false" ht="15" hidden="false" customHeight="false" outlineLevel="0" collapsed="false">
      <c r="A30" s="3" t="s">
        <v>140</v>
      </c>
      <c r="B30" s="3" t="s">
        <v>141</v>
      </c>
      <c r="C30" s="3" t="s">
        <v>63</v>
      </c>
      <c r="D30" s="3" t="s">
        <v>88</v>
      </c>
      <c r="E30" s="11" t="n">
        <v>44659</v>
      </c>
      <c r="F30" s="12" t="n">
        <v>1597668</v>
      </c>
      <c r="G30" s="3" t="n">
        <v>9</v>
      </c>
      <c r="H30" s="3" t="n">
        <v>3.2</v>
      </c>
      <c r="I30" s="3" t="n">
        <v>4.9</v>
      </c>
      <c r="J30" s="13" t="n">
        <v>40</v>
      </c>
    </row>
    <row r="31" customFormat="false" ht="15" hidden="false" customHeight="false" outlineLevel="0" collapsed="false">
      <c r="A31" s="3" t="s">
        <v>142</v>
      </c>
      <c r="B31" s="3" t="s">
        <v>143</v>
      </c>
      <c r="C31" s="3" t="s">
        <v>63</v>
      </c>
      <c r="D31" s="3" t="s">
        <v>88</v>
      </c>
      <c r="E31" s="11" t="n">
        <v>43457</v>
      </c>
      <c r="F31" s="12" t="n">
        <v>2258268</v>
      </c>
      <c r="G31" s="3" t="n">
        <v>6</v>
      </c>
      <c r="H31" s="3" t="n">
        <v>3.7</v>
      </c>
      <c r="I31" s="3" t="n">
        <v>4.1</v>
      </c>
      <c r="J31" s="13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4" t="s">
        <v>144</v>
      </c>
      <c r="B1" s="14"/>
      <c r="C1" s="14"/>
      <c r="D1" s="14"/>
    </row>
    <row r="2" customFormat="false" ht="15" hidden="false" customHeight="false" outlineLevel="0" collapsed="false">
      <c r="A2" s="15" t="s">
        <v>145</v>
      </c>
      <c r="B2" s="15"/>
      <c r="C2" s="15"/>
      <c r="D2" s="15"/>
    </row>
    <row r="4" customFormat="false" ht="15" hidden="false" customHeight="false" outlineLevel="0" collapsed="false">
      <c r="A4" s="16" t="s">
        <v>146</v>
      </c>
      <c r="B4" s="16"/>
      <c r="C4" s="16"/>
      <c r="D4" s="16"/>
    </row>
    <row r="5" customFormat="false" ht="15" hidden="false" customHeight="false" outlineLevel="0" collapsed="false">
      <c r="A5" s="17" t="s">
        <v>147</v>
      </c>
      <c r="B5" s="18" t="n">
        <f aca="false">'Sales Data'!G252</f>
        <v>6387</v>
      </c>
      <c r="C5" s="17" t="s">
        <v>148</v>
      </c>
      <c r="D5" s="18" t="n">
        <f aca="false">'Sales Data'!G252</f>
        <v>6387</v>
      </c>
    </row>
    <row r="6" customFormat="false" ht="15" hidden="false" customHeight="false" outlineLevel="0" collapsed="false">
      <c r="A6" s="17" t="s">
        <v>149</v>
      </c>
      <c r="B6" s="18" t="n">
        <f aca="false">ROUND('Sales Data'!I252,2)</f>
        <v>2265793.43</v>
      </c>
      <c r="C6" s="17" t="s">
        <v>150</v>
      </c>
      <c r="D6" s="18" t="n">
        <f aca="false">ROUND('Sales Data'!J252,2)</f>
        <v>1219175.95</v>
      </c>
    </row>
    <row r="7" customFormat="false" ht="15" hidden="false" customHeight="false" outlineLevel="0" collapsed="false">
      <c r="A7" s="17" t="s">
        <v>151</v>
      </c>
      <c r="B7" s="19" t="n">
        <f aca="false">ROUND('Sales Data'!K252,2)</f>
        <v>1046617.48</v>
      </c>
      <c r="C7" s="17" t="s">
        <v>152</v>
      </c>
      <c r="D7" s="19" t="n">
        <f aca="false">'Sales Data'!L252</f>
        <v>0.46192096072059</v>
      </c>
    </row>
    <row r="9" customFormat="false" ht="15" hidden="false" customHeight="false" outlineLevel="0" collapsed="false">
      <c r="A9" s="20" t="s">
        <v>153</v>
      </c>
      <c r="B9" s="20"/>
      <c r="C9" s="20"/>
      <c r="D9" s="20"/>
    </row>
    <row r="10" customFormat="false" ht="15" hidden="false" customHeight="false" outlineLevel="0" collapsed="false">
      <c r="A10" s="21" t="s">
        <v>154</v>
      </c>
      <c r="B10" s="18" t="n">
        <f aca="false">COUNTA('Employee Data'!A2:A31)</f>
        <v>30</v>
      </c>
      <c r="C10" s="21" t="s">
        <v>155</v>
      </c>
      <c r="D10" s="18" t="n">
        <f aca="false">AVERAGE('Employee Data'!F2:F31)</f>
        <v>1916802</v>
      </c>
    </row>
    <row r="11" customFormat="false" ht="15" hidden="false" customHeight="false" outlineLevel="0" collapsed="false">
      <c r="A11" s="21" t="s">
        <v>156</v>
      </c>
      <c r="B11" s="18" t="n">
        <f aca="false">AVERAGE('Employee Data'!H2:H31)</f>
        <v>3.57333333333333</v>
      </c>
      <c r="C11" s="21" t="s">
        <v>157</v>
      </c>
      <c r="D11" s="18" t="n">
        <f aca="false">AVERAGE('Employee Data'!I2:I31)</f>
        <v>4.11</v>
      </c>
    </row>
    <row r="12" customFormat="false" ht="15" hidden="false" customHeight="false" outlineLevel="0" collapsed="false">
      <c r="A12" s="21" t="s">
        <v>158</v>
      </c>
      <c r="B12" s="18" t="n">
        <f aca="false">AVERAGE('Employee Data'!G2:G31)</f>
        <v>8.13333333333333</v>
      </c>
      <c r="C12" s="21" t="s">
        <v>159</v>
      </c>
      <c r="D12" s="18" t="n">
        <f aca="false">AVERAGE('Employee Data'!J2:J31)</f>
        <v>59.6666666666667</v>
      </c>
    </row>
    <row r="14" customFormat="false" ht="15" hidden="false" customHeight="false" outlineLevel="0" collapsed="false">
      <c r="A14" s="22" t="s">
        <v>160</v>
      </c>
    </row>
    <row r="15" customFormat="false" ht="15" hidden="false" customHeight="false" outlineLevel="0" collapsed="false">
      <c r="A15" s="23" t="s">
        <v>161</v>
      </c>
      <c r="B15" s="23"/>
      <c r="C15" s="23"/>
      <c r="D15" s="23"/>
    </row>
    <row r="16" customFormat="false" ht="15" hidden="false" customHeight="false" outlineLevel="0" collapsed="false">
      <c r="A16" s="23" t="s">
        <v>162</v>
      </c>
      <c r="B16" s="23"/>
      <c r="C16" s="23"/>
      <c r="D16" s="23"/>
    </row>
    <row r="17" customFormat="false" ht="15" hidden="false" customHeight="false" outlineLevel="0" collapsed="false">
      <c r="A17" s="23" t="s">
        <v>163</v>
      </c>
      <c r="B17" s="23"/>
      <c r="C17" s="23"/>
      <c r="D17" s="23"/>
    </row>
    <row r="18" customFormat="false" ht="15" hidden="false" customHeight="false" outlineLevel="0" collapsed="false">
      <c r="A18" s="23" t="s">
        <v>164</v>
      </c>
      <c r="B18" s="23"/>
      <c r="C18" s="23"/>
      <c r="D18" s="23"/>
    </row>
    <row r="19" customFormat="false" ht="15" hidden="false" customHeight="false" outlineLevel="0" collapsed="false">
      <c r="A19" s="23" t="s">
        <v>165</v>
      </c>
      <c r="B19" s="23"/>
      <c r="C19" s="23"/>
      <c r="D19" s="23"/>
    </row>
    <row r="20" customFormat="false" ht="15" hidden="false" customHeight="false" outlineLevel="0" collapsed="false">
      <c r="A20" s="23" t="s">
        <v>166</v>
      </c>
      <c r="B20" s="23"/>
      <c r="C20" s="23"/>
      <c r="D20" s="23"/>
    </row>
  </sheetData>
  <mergeCells count="10">
    <mergeCell ref="A1:D1"/>
    <mergeCell ref="A2:D2"/>
    <mergeCell ref="A4:D4"/>
    <mergeCell ref="A9:D9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2026-04-22T21:20:00Z</dcterms:created>
  <dc:creator>openpyxl</dc:creator>
  <dc:description/>
  <dc:language>en-US</dc:language>
  <cp:lastModifiedBy/>
  <dcterms:modified xsi:type="dcterms:W3CDTF">2026-04-22T21:20:00Z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